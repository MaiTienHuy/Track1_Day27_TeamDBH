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7" autoFilterDateGrouping="1"/>
  </bookViews>
  <sheets>
    <sheet xmlns:r="http://schemas.openxmlformats.org/officeDocument/2006/relationships" name="0_Hướng dẫn" sheetId="1" state="visible" r:id="rId1"/>
    <sheet xmlns:r="http://schemas.openxmlformats.org/officeDocument/2006/relationships" name="0_Tình huống" sheetId="2" state="visible" r:id="rId2"/>
    <sheet xmlns:r="http://schemas.openxmlformats.org/officeDocument/2006/relationships" name="Bài 1" sheetId="3" state="visible" r:id="rId3"/>
    <sheet xmlns:r="http://schemas.openxmlformats.org/officeDocument/2006/relationships" name="Bài 2" sheetId="4" state="visible" r:id="rId4"/>
    <sheet xmlns:r="http://schemas.openxmlformats.org/officeDocument/2006/relationships" name="Bài 3" sheetId="5" state="visible" r:id="rId5"/>
    <sheet xmlns:r="http://schemas.openxmlformats.org/officeDocument/2006/relationships" name="Bài 4" sheetId="6" state="visible" r:id="rId6"/>
    <sheet xmlns:r="http://schemas.openxmlformats.org/officeDocument/2006/relationships" name="Bài 5" sheetId="7" state="visible" r:id="rId7"/>
    <sheet xmlns:r="http://schemas.openxmlformats.org/officeDocument/2006/relationships" name="Xưởng" sheetId="8" state="visible" r:id="rId8"/>
    <sheet xmlns:r="http://schemas.openxmlformats.org/officeDocument/2006/relationships" name="Thang điểm" sheetId="9" state="visible" r:id="rId9"/>
    <sheet xmlns:r="http://schemas.openxmlformats.org/officeDocument/2006/relationships" name="Tổng hợp" sheetId="10" state="visible" r:id="rId10"/>
    <sheet xmlns:r="http://schemas.openxmlformats.org/officeDocument/2006/relationships" name="_ds" sheetId="11" state="hidden" r:id="rId11"/>
  </sheets>
  <definedNames/>
  <calcPr calcId="191029" calcMode="auto" fullCalcOnLoad="1" forceFullCalc="1"/>
</workbook>
</file>

<file path=xl/styles.xml><?xml version="1.0" encoding="utf-8"?>
<styleSheet xmlns="http://schemas.openxmlformats.org/spreadsheetml/2006/main">
  <numFmts count="3">
    <numFmt numFmtId="164" formatCode="#,##0;[RED]\-#,##0"/>
    <numFmt numFmtId="165" formatCode="0.0%"/>
    <numFmt numFmtId="166" formatCode="0.0"/>
  </numFmts>
  <fonts count="12">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libri"/>
      <charset val="1"/>
      <family val="0"/>
      <b val="1"/>
      <sz val="11"/>
    </font>
    <font>
      <name val="Calibri"/>
      <charset val="1"/>
      <family val="0"/>
      <sz val="11"/>
    </font>
    <font>
      <name val="Cambria"/>
      <charset val="1"/>
      <family val="0"/>
      <b val="1"/>
      <sz val="11"/>
    </font>
    <font>
      <name val="Cambria"/>
      <charset val="1"/>
      <family val="0"/>
      <b val="1"/>
      <color rgb="FFFFFFFF"/>
      <sz val="11"/>
    </font>
    <font>
      <name val="Calibri"/>
      <charset val="1"/>
      <family val="0"/>
      <i val="1"/>
      <color rgb="FF595959"/>
      <sz val="10"/>
    </font>
    <font>
      <name val="Calibri"/>
      <charset val="1"/>
      <family val="0"/>
      <sz val="10"/>
    </font>
  </fonts>
  <fills count="5">
    <fill>
      <patternFill/>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1">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xf>
    <xf numFmtId="0" fontId="9" fillId="2" borderId="1" applyAlignment="1" pivotButton="0" quotePrefix="0" xfId="0">
      <alignment horizontal="general" vertical="top" wrapText="1"/>
    </xf>
    <xf numFmtId="0" fontId="7" fillId="0" borderId="1" applyAlignment="1" pivotButton="0" quotePrefix="0" xfId="0">
      <alignment horizontal="general" vertical="top" wrapText="1"/>
    </xf>
    <xf numFmtId="0" fontId="6" fillId="0" borderId="1" applyAlignment="1" pivotButton="0" quotePrefix="0" xfId="0">
      <alignment horizontal="general" vertical="top" wrapText="1"/>
    </xf>
    <xf numFmtId="0" fontId="10" fillId="0" borderId="0" applyAlignment="1" pivotButton="0" quotePrefix="0" xfId="0">
      <alignment horizontal="general" vertical="top" wrapText="1"/>
    </xf>
    <xf numFmtId="1" fontId="7" fillId="3" borderId="1" applyAlignment="1" applyProtection="1" pivotButton="0" quotePrefix="0" xfId="0">
      <alignment horizontal="general" vertical="top" wrapText="1"/>
      <protection locked="0" hidden="0"/>
    </xf>
    <xf numFmtId="0" fontId="7" fillId="4" borderId="1" applyAlignment="1" applyProtection="1" pivotButton="0" quotePrefix="0" xfId="0">
      <alignment horizontal="general" vertical="top" wrapText="1"/>
      <protection locked="1" hidden="1"/>
    </xf>
    <xf numFmtId="9" fontId="7" fillId="3" borderId="1" applyAlignment="1" applyProtection="1" pivotButton="0" quotePrefix="0" xfId="0">
      <alignment horizontal="general" vertical="top" wrapText="1"/>
      <protection locked="0" hidden="0"/>
    </xf>
    <xf numFmtId="164" fontId="7" fillId="3" borderId="1" applyAlignment="1" applyProtection="1" pivotButton="0" quotePrefix="0" xfId="0">
      <alignment horizontal="general" vertical="top" wrapText="1"/>
      <protection locked="0" hidden="0"/>
    </xf>
    <xf numFmtId="1" fontId="6" fillId="4" borderId="1" applyAlignment="1" pivotButton="0" quotePrefix="0" xfId="0">
      <alignment horizontal="general" vertical="top" wrapText="1"/>
    </xf>
    <xf numFmtId="165" fontId="7" fillId="3" borderId="1" applyAlignment="1" applyProtection="1" pivotButton="0" quotePrefix="0" xfId="0">
      <alignment horizontal="general" vertical="top" wrapText="1"/>
      <protection locked="0" hidden="0"/>
    </xf>
    <xf numFmtId="2" fontId="7" fillId="3" borderId="1" applyAlignment="1" applyProtection="1" pivotButton="0" quotePrefix="0" xfId="0">
      <alignment horizontal="general" vertical="top" wrapText="1"/>
      <protection locked="0" hidden="0"/>
    </xf>
    <xf numFmtId="0" fontId="8" fillId="0" borderId="0" applyAlignment="1" pivotButton="0" quotePrefix="0" xfId="0">
      <alignment horizontal="general" vertical="top" wrapText="1"/>
    </xf>
    <xf numFmtId="1" fontId="7" fillId="4" borderId="1" applyAlignment="1" pivotButton="0" quotePrefix="0" xfId="0">
      <alignment horizontal="general" vertical="top" wrapText="1"/>
    </xf>
    <xf numFmtId="165" fontId="6" fillId="4" borderId="1" applyAlignment="1" pivotButton="0" quotePrefix="0" xfId="0">
      <alignment horizontal="general" vertical="top" wrapText="1"/>
    </xf>
    <xf numFmtId="9" fontId="7" fillId="0" borderId="1" applyAlignment="1" pivotButton="0" quotePrefix="0" xfId="0">
      <alignment horizontal="general" vertical="top" wrapText="1"/>
    </xf>
    <xf numFmtId="166" fontId="7" fillId="0" borderId="1" applyAlignment="1" pivotButton="0" quotePrefix="0" xfId="0">
      <alignment horizontal="general" vertical="top" wrapText="1"/>
    </xf>
    <xf numFmtId="166" fontId="6" fillId="4" borderId="1" applyAlignment="1" pivotButton="0" quotePrefix="0" xfId="0">
      <alignment horizontal="general" vertical="top" wrapText="1"/>
    </xf>
    <xf numFmtId="2" fontId="6" fillId="4" borderId="1" applyAlignment="1" pivotButton="0" quotePrefix="0" xfId="0">
      <alignment horizontal="general" vertical="top" wrapText="1"/>
    </xf>
    <xf numFmtId="1" fontId="7" fillId="0" borderId="1" applyAlignment="1" pivotButton="0" quotePrefix="0" xfId="0">
      <alignment horizontal="general" vertical="top" wrapText="1"/>
    </xf>
    <xf numFmtId="0" fontId="7"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xf>
    <xf numFmtId="0" fontId="9" fillId="2" borderId="1" applyAlignment="1" pivotButton="0" quotePrefix="0" xfId="0">
      <alignment horizontal="general" vertical="top" wrapText="1"/>
    </xf>
    <xf numFmtId="0" fontId="7" fillId="0" borderId="1" applyAlignment="1" pivotButton="0" quotePrefix="0" xfId="0">
      <alignment horizontal="general" vertical="top" wrapText="1"/>
    </xf>
    <xf numFmtId="0" fontId="6" fillId="0" borderId="1"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4" pivotButton="0" quotePrefix="0" xfId="0"/>
    <xf numFmtId="1" fontId="7" fillId="3" borderId="1" applyAlignment="1" applyProtection="1" pivotButton="0" quotePrefix="0" xfId="0">
      <alignment horizontal="general" vertical="center" wrapText="1"/>
      <protection locked="0" hidden="0"/>
    </xf>
    <xf numFmtId="0" fontId="7" fillId="4" borderId="1" applyAlignment="1" applyProtection="1" pivotButton="0" quotePrefix="0" xfId="0">
      <alignment horizontal="general" vertical="top" wrapText="1"/>
      <protection locked="1" hidden="1"/>
    </xf>
    <xf numFmtId="9" fontId="7" fillId="3" borderId="1" applyAlignment="1" applyProtection="1" pivotButton="0" quotePrefix="0" xfId="0">
      <alignment horizontal="general" vertical="center" wrapText="1"/>
      <protection locked="0" hidden="0"/>
    </xf>
    <xf numFmtId="164" fontId="7" fillId="3" borderId="1" applyAlignment="1" applyProtection="1" pivotButton="0" quotePrefix="0" xfId="0">
      <alignment horizontal="general" vertical="center" wrapText="1"/>
      <protection locked="0" hidden="0"/>
    </xf>
    <xf numFmtId="1" fontId="6" fillId="4" borderId="1" applyAlignment="1" pivotButton="0" quotePrefix="0" xfId="0">
      <alignment horizontal="general" vertical="top" wrapText="1"/>
    </xf>
    <xf numFmtId="0" fontId="0" fillId="0" borderId="5" pivotButton="0" quotePrefix="0" xfId="0"/>
    <xf numFmtId="164" fontId="7" fillId="3" borderId="1" applyAlignment="1" applyProtection="1" pivotButton="0" quotePrefix="0" xfId="0">
      <alignment horizontal="general" vertical="top" wrapText="1"/>
      <protection locked="0" hidden="0"/>
    </xf>
    <xf numFmtId="165" fontId="7" fillId="3" borderId="1" applyAlignment="1" applyProtection="1" pivotButton="0" quotePrefix="0" xfId="0">
      <alignment horizontal="general" vertical="center" wrapText="1"/>
      <protection locked="0" hidden="0"/>
    </xf>
    <xf numFmtId="2" fontId="7" fillId="3" borderId="1" applyAlignment="1" applyProtection="1" pivotButton="0" quotePrefix="0" xfId="0">
      <alignment horizontal="general" vertical="center" wrapText="1"/>
      <protection locked="0" hidden="0"/>
    </xf>
    <xf numFmtId="0" fontId="0" fillId="0" borderId="5" applyProtection="1" pivotButton="0" quotePrefix="0" xfId="0">
      <protection locked="0" hidden="0"/>
    </xf>
    <xf numFmtId="0" fontId="0" fillId="0" borderId="4" applyProtection="1" pivotButton="0" quotePrefix="0" xfId="0">
      <protection locked="0" hidden="0"/>
    </xf>
    <xf numFmtId="0" fontId="8" fillId="0" borderId="0" applyAlignment="1" pivotButton="0" quotePrefix="0" xfId="0">
      <alignment horizontal="general" vertical="top" wrapText="1"/>
    </xf>
    <xf numFmtId="1" fontId="7" fillId="4" borderId="1" applyAlignment="1" pivotButton="0" quotePrefix="0" xfId="0">
      <alignment horizontal="general" vertical="top" wrapText="1"/>
    </xf>
    <xf numFmtId="164" fontId="11" fillId="3" borderId="1" applyAlignment="1" applyProtection="1" pivotButton="0" quotePrefix="0" xfId="0">
      <alignment horizontal="general" vertical="center" wrapText="1"/>
      <protection locked="0" hidden="0"/>
    </xf>
    <xf numFmtId="164" fontId="11" fillId="3" borderId="1" applyAlignment="1" applyProtection="1" pivotButton="0" quotePrefix="0" xfId="0">
      <alignment horizontal="general" vertical="top" wrapText="1"/>
      <protection locked="0" hidden="0"/>
    </xf>
    <xf numFmtId="165" fontId="6" fillId="4" borderId="1" applyAlignment="1" pivotButton="0" quotePrefix="0" xfId="0">
      <alignment horizontal="general" vertical="top" wrapText="1"/>
    </xf>
    <xf numFmtId="9" fontId="7" fillId="0" borderId="1" applyAlignment="1" pivotButton="0" quotePrefix="0" xfId="0">
      <alignment horizontal="general" vertical="top" wrapText="1"/>
    </xf>
    <xf numFmtId="166" fontId="7" fillId="0" borderId="1" applyAlignment="1" pivotButton="0" quotePrefix="0" xfId="0">
      <alignment horizontal="general" vertical="top" wrapText="1"/>
    </xf>
    <xf numFmtId="2" fontId="7" fillId="3" borderId="1" applyAlignment="1" applyProtection="1" pivotButton="0" quotePrefix="0" xfId="0">
      <alignment horizontal="general" vertical="top" wrapText="1"/>
      <protection locked="0" hidden="0"/>
    </xf>
    <xf numFmtId="166" fontId="6" fillId="4" borderId="1" applyAlignment="1" pivotButton="0" quotePrefix="0" xfId="0">
      <alignment horizontal="general" vertical="top" wrapText="1"/>
    </xf>
    <xf numFmtId="2" fontId="6" fillId="4" borderId="1" applyAlignment="1" pivotButton="0" quotePrefix="0" xfId="0">
      <alignment horizontal="general" vertical="top" wrapText="1"/>
    </xf>
    <xf numFmtId="1" fontId="7" fillId="0" borderId="1" applyAlignment="1" pivotButton="0" quotePrefix="0" xfId="0">
      <alignment horizontal="general" vertical="top" wrapText="1"/>
    </xf>
    <xf numFmtId="0" fontId="7"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Giải thích bài làm</author>
  </authors>
  <commentList>
    <comment ref="C19" authorId="0" shapeId="0">
      <text>
        <t>100/50 = 2 điểm phần trăm cho mỗi tin.</t>
      </text>
    </comment>
    <comment ref="C20" authorId="0" shapeId="0">
      <text>
        <t>42/50 = 84%.</t>
      </text>
    </comment>
    <comment ref="C21" authorId="0" shapeId="0">
      <text>
        <t>84% ≥ 82%; qua cổng tổng chưa đủ để quyết định phát hành.</t>
      </text>
    </comment>
    <comment ref="C22" authorId="0" shapeId="0">
      <text>
        <t>Nhóm Tra cứu đơn: 6/10 = 60%.</t>
      </text>
    </comment>
    <comment ref="C23" authorId="0" shapeId="0">
      <text>
        <t>9/10 − 6/10 = 90% − 60% = 30 điểm phần trăm.</t>
      </text>
    </comment>
    <comment ref="C24" authorId="0" shapeId="0">
      <text>
        <t>Tổng tăng 4 điểm nhưng Tra cứu đơn có 3 ca hồi quy; đọc cả 3 trước khi quyết định.</t>
      </text>
    </comment>
    <comment ref="C25" authorId="0" shapeId="0">
      <text>
        <t>Theo mức xấp xỉ của bài học: sai số tỷ lệ lớn nhất 1,96×√(0,25/n); với n≈1.000 thì xấp xỉ 3,1 điểm. Đây không phải bảo đảm phát hiện chênh lệch 3 điểm giữa hai hệ thống; thiết kế thực nghiệm còn phụ thuộc tỷ lệ nền, ghép cặp và lực kiểm định.</t>
      </text>
    </comment>
    <comment ref="C26" authorId="0" shapeId="0">
      <text>
        <t>Một tin nhắn → một trong bốn nhãn, dưới 2 giây: có đầu vào, đầu ra kiểm được, ràng buộc bằng số.</t>
      </text>
    </comment>
    <comment ref="C27" authorId="0" shapeId="0">
      <text>
        <t>Rõ ràng/mơ hồ là điều kiện đầu vào làm thay đổi hành vi trả lời hay hỏi lại.</t>
      </text>
    </comment>
  </commentList>
</comments>
</file>

<file path=xl/comments/comment2.xml><?xml version="1.0" encoding="utf-8"?>
<comments xmlns="http://schemas.openxmlformats.org/spreadsheetml/2006/main">
  <authors>
    <author>Giải thích bài làm</author>
  </authors>
  <commentList>
    <comment ref="C10" authorId="0" shapeId="0">
      <text>
        <t>Có dấu/không dấu chỉ đổi cách diễn đạt; giữ nguyên nội dung thì hành vi mong đợi không đổi.</t>
      </text>
    </comment>
    <comment ref="C11" authorId="0" shapeId="0">
      <text>
        <t>Có mã: tra cứu; thiếu mã: hỏi mã đơn hoặc số điện thoại, không đoán đơn (CS-5).</t>
      </text>
    </comment>
    <comment ref="C12" authorId="0" shapeId="0">
      <text>
        <t>Lịch sự/cộc lốc không thay đổi bước xử lý chính sách khi nhu cầu giữ nguyên.</t>
      </text>
    </comment>
    <comment ref="C13" authorId="0" shapeId="0">
      <text>
        <t>Thay thời hạn hoặc dấu hiệu lỗi sẽ đổi điều kiện đổi/trả hay chuyển người (CS-1, CS-2, CS-3, CS-6).</t>
      </text>
    </comment>
    <comment ref="C14" authorId="0" shapeId="0">
      <text>
        <t>Hai ý/hai đơn cần tách xử lý từng đơn, không gộp một hành động.</t>
      </text>
    </comment>
    <comment ref="C15" authorId="0" shapeId="0">
      <text>
        <t>Dài/ngắn cùng nội dung chỉ là biến thể diễn đạt.</t>
      </text>
    </comment>
    <comment ref="C16" authorId="0" shapeId="0">
      <text>
        <t>4×3×3 = 36 tổ hợp.</t>
      </text>
    </comment>
    <comment ref="C17" authorId="0" shapeId="0">
      <text>
        <t>36−12 = 24 tổ hợp sau loại các ô phi lý theo đề.</t>
      </text>
    </comment>
    <comment ref="C18" authorId="0" shapeId="0">
      <text>
        <t>16 tình huống × 3 cách diễn đạt = 48 đầu vào.</t>
      </text>
    </comment>
    <comment ref="C19" authorId="0" shapeId="0">
      <text>
        <t>Một yêu cầu đổi size rõ ràng, có mã, trong hạn.</t>
      </text>
    </comment>
    <comment ref="C20" authorId="0" shapeId="0">
      <text>
        <t>Chưa rõ đơn và thao tác mong muốn: cần hỏi lại.</t>
      </text>
    </comment>
    <comment ref="C21" authorId="0" shapeId="0">
      <text>
        <t>Hai ý định trên hai đơn; phải giữ liên kết mã đơn–thao tác.</t>
      </text>
    </comment>
    <comment ref="C22" authorId="0" shapeId="0">
      <text>
        <t>Có tiền sử hứa hoàn cho đơn thường 20 ngày; giữ ca này để ngăn tái phát.</t>
      </text>
    </comment>
    <comment ref="C23" authorId="0" shapeId="0">
      <text>
        <t>Người chọn ô lưới và đáp án mong đợi; AI tạo biến thể trong từng ô.</t>
      </text>
    </comment>
  </commentList>
</comments>
</file>

<file path=xl/comments/comment3.xml><?xml version="1.0" encoding="utf-8"?>
<comments xmlns="http://schemas.openxmlformats.org/spreadsheetml/2006/main">
  <authors>
    <author>Giải thích bài làm</author>
  </authors>
  <commentList>
    <comment ref="C29" authorId="0" shapeId="0">
      <text>
        <t>T1: ý định đổi size bị phân loại thành Tra cứu đơn ngay ở bước 2.</t>
      </text>
    </comment>
    <comment ref="C30" authorId="0" shapeId="0">
      <text>
        <t>Sai ý định là lỗi gốc; câu trả lời lạc nhu cầu là hệ quả.</t>
      </text>
    </comment>
    <comment ref="C31" authorId="0" shapeId="0">
      <text>
        <t>T2: bỏ bước xác minh đơn ở bước 3; thiếu mã phải hỏi lại (CS-5), chưa được hứa hoàn (CS-4).</t>
      </text>
    </comment>
    <comment ref="C32" authorId="0" shapeId="0">
      <text>
        <t>Không có tra cứu trước cam kết; premature_commit ở bước 4 là lỗi tiếp theo.</t>
      </text>
    </comment>
    <comment ref="C33" authorId="0" shapeId="0">
      <text>
        <t>T3: đến bước 4 bỏ chuyển người dù hàng lỗi trong 30 ngày và khách yêu cầu gặp người.</t>
      </text>
    </comment>
    <comment ref="C34" authorId="0" shapeId="0">
      <text>
        <t>CS-3 và CS-6 yêu cầu chuyển nhân viên; không áp hạn 7 ngày của đổi/trả thông thường.</t>
      </text>
    </comment>
    <comment ref="C35" authorId="0" shapeId="0">
      <text>
        <t>T4: đã tra và nêu còn hạn nhưng kết thúc ở bước 4 mà không hướng dẫn bước tiếp theo.</t>
      </text>
    </comment>
    <comment ref="C36" authorId="0" shapeId="0">
      <text>
        <t>Cần xác nhận tem/lần đổi, hỏi thông tin còn thiếu và hướng dẫn hoặc tạo yêu cầu khi đủ điều kiện.</t>
      </text>
    </comment>
    <comment ref="C37" authorId="0" shapeId="0">
      <text>
        <t>Lời nói trôi chảy che việc không tra cứu; phải đọc vết gọi công cụ.</t>
      </text>
    </comment>
  </commentList>
</comments>
</file>

<file path=xl/comments/comment4.xml><?xml version="1.0" encoding="utf-8"?>
<comments xmlns="http://schemas.openxmlformats.org/spreadsheetml/2006/main">
  <authors>
    <author>Giải thích bài làm</author>
  </authors>
  <commentList>
    <comment ref="C17" authorId="0" shapeId="0">
      <text>
        <t>Chưa có yêu cầu về phí trong câu lệnh: phải bổ sung đặc tả trước.</t>
      </text>
    </comment>
    <comment ref="C18" authorId="0" shapeId="0">
      <text>
        <t>Chưa có công cụ tồn kho; sửa câu lệnh không tạo được nguồn dữ liệu.</t>
      </text>
    </comment>
    <comment ref="C19" authorId="0" shapeId="0">
      <text>
        <t>Yêu cầu đã có nhưng thực hiện thiếu nhất quán: cần đo và chặn hồi quy.</t>
      </text>
    </comment>
    <comment ref="C20" authorId="0" shapeId="0">
      <text>
        <t>So khớp tập nhãn hợp lệ và số nhãn là kiểm tra xác định.</t>
      </text>
    </comment>
    <comment ref="C21" authorId="0" shapeId="0">
      <text>
        <t>Mã đơn có thể đối chiếu trực tiếp với đầu vào/dữ liệu công cụ.</t>
      </text>
    </comment>
    <comment ref="C22" authorId="0" shapeId="0">
      <text>
        <t>Kiểm thứ tự và mã đơn trong vết gọi công cụ.</t>
      </text>
    </comment>
    <comment ref="C23" authorId="0" shapeId="0">
      <text>
        <t>Dùng thời gian bắt đầu/kết thúc đo độ trễ.</t>
      </text>
    </comment>
    <comment ref="C24" authorId="0" shapeId="0">
      <text>
        <t>Ghi nhận cảm xúc là nghĩa của câu và thứ tự so với xử lý; cần giám khảo đã hiệu chỉnh.</t>
      </text>
    </comment>
    <comment ref="C25" authorId="0" shapeId="0">
      <text>
        <t>Quyết định đền bù thuộc nhân viên; trợ lý không tự hứa đền bù (CS-3).</t>
      </text>
    </comment>
    <comment ref="C26" authorId="0" shapeId="0">
      <text>
        <t>Đầu ra chứa đúng nhãn Đổi hàng.</t>
      </text>
    </comment>
    <comment ref="C27" authorId="0" shapeId="0">
      <text>
        <t>đổi size không trùng chữ với nhãn Đổi hàng; không tự suy diễn trong bộ chấm bằng mã.</t>
      </text>
    </comment>
    <comment ref="C28" authorId="0" shapeId="0">
      <text>
        <t>Đầu ra chứa cả Đổi hàng và Trả hàng.</t>
      </text>
    </comment>
    <comment ref="C29" authorId="0" shapeId="0">
      <text>
        <t>0% đồng loạt có thể do bộ chấm lỗi: kiểm mẫu so khớp/tên trường trước.</t>
      </text>
    </comment>
    <comment ref="C30" authorId="0" shapeId="0">
      <text>
        <t>Ghi nhận cảm xúc giảm 84%→76%, tức 8 điểm, vượt giới hạn 2 điểm.</t>
      </text>
    </comment>
    <comment ref="C31" authorId="0" shapeId="0">
      <text>
        <t>Ưu tiên sửa hướng dẫn ghi nhận cảm xúc, thêm ca sát ranh và chạy lại các tiêu chí.</t>
      </text>
    </comment>
  </commentList>
</comments>
</file>

<file path=xl/comments/comment5.xml><?xml version="1.0" encoding="utf-8"?>
<comments xmlns="http://schemas.openxmlformats.org/spreadsheetml/2006/main">
  <authors>
    <author>Giải thích bài làm</author>
  </authors>
  <commentList>
    <comment ref="C25" authorId="0" shapeId="0">
      <text>
        <t>Chuyên gia Đạt ở tin 1, 2, 4, 5, 7, 9, 11, 12.</t>
      </text>
    </comment>
    <comment ref="C26" authorId="0" shapeId="0">
      <text>
        <t>Giám khảo Đạt ở tin 1, 2, 3, 4, 7, 8, 9, 11, 12.</t>
      </text>
    </comment>
    <comment ref="C27" authorId="0" shapeId="0">
      <text>
        <t>Khớp ở tin 1, 2, 4, 6, 7, 9, 10, 11, 12: 9/12.</t>
      </text>
    </comment>
    <comment ref="C28" authorId="0" shapeId="0">
      <text>
        <t>Cả hai Đạt: tin 1, 2, 4, 7, 9, 11, 12.</t>
      </text>
    </comment>
    <comment ref="C29" authorId="0" shapeId="0">
      <text>
        <t>Cho qua lỗi: tin 3 và 8.</t>
      </text>
    </comment>
    <comment ref="C30" authorId="0" shapeId="0">
      <text>
        <t>Chặn nhầm: tin 5.</t>
      </text>
    </comment>
    <comment ref="C31" authorId="0" shapeId="0">
      <text>
        <t>Cả hai Không đạt: tin 6 và 10.</t>
      </text>
    </comment>
    <comment ref="C32" authorId="0" shapeId="0">
      <text>
        <t>TPR = 7/(7+1) = 87,5%.</t>
      </text>
    </comment>
    <comment ref="C33" authorId="0" shapeId="0">
      <text>
        <t>TNR = 2/(2+2) = 50%.</t>
      </text>
    </comment>
    <comment ref="C34" authorId="0" shapeId="0">
      <text>
        <t>TPR đạt 85% nhưng TNR chỉ 50%: siết định nghĩa Không đạt, thêm 3–4 ví dụ trượt sát ranh rồi chấm lại.</t>
      </text>
    </comment>
    <comment ref="C35" authorId="0" shapeId="0">
      <text>
        <t>Giám khảo bỏ lọt ca mà chuyên gia xác định Không đạt, làm báo cáo chất lượng lạc quan.</t>
      </text>
    </comment>
    <comment ref="C36" authorId="0" shapeId="0">
      <text>
        <t>Po=9/12=0,75. Pe=(9/12×8/12)+(3/12×4/12)=7/12. Kappa=(0,75−7/12)/(1−7/12)=0,40.</t>
      </text>
    </comment>
    <comment ref="C37" authorId="0" shapeId="0">
      <text>
        <t>Chênh TPR = 2 điểm; chênh TNR = 4 điểm; lấy mức lớn nhất là 4.</t>
      </text>
    </comment>
    <comment ref="C38" authorId="0" shapeId="0">
      <text>
        <t>Cả TPR và TNR trên hai tập ≥85%; chênh lớn nhất 4≤5 điểm.</t>
      </text>
    </comment>
    <comment ref="C39" authorId="0" shapeId="0">
      <text>
        <t>Cùng họ mô hình không bảo đảm công bằng; cần kiểm thiên lệch và hiệu chỉnh theo chuyên gia.</t>
      </text>
    </comment>
    <comment ref="C40" authorId="0" shapeId="0">
      <text>
        <t>Trong bài này dùng tiêu chí nhị phân có mốc quan sát được; thang 1–10 làm tăng vùng diễn giải.</t>
      </text>
    </comment>
    <comment ref="C41" authorId="0" shapeId="0">
      <text>
        <t>Đa số phiếu không thay thế chuẩn chuyên gia; chỉ dùng giám khảo đã hiệu chỉnh và xử lý bất đồng theo tiêu chí.</t>
      </text>
    </comment>
    <comment ref="C42" authorId="0" shapeId="0">
      <text>
        <t>Chuyên gia bất đồng nhiều nghĩa là tiêu chí chưa rõ; sửa tiêu chí trước tự động hóa.</t>
      </text>
    </comment>
  </commentList>
</comments>
</file>

<file path=xl/comments/comment6.xml><?xml version="1.0" encoding="utf-8"?>
<comments xmlns="http://schemas.openxmlformats.org/spreadsheetml/2006/main">
  <authors>
    <author>Giải thích bài làm</author>
    <author>Quy ước chấm</author>
  </authors>
  <commentList>
    <comment ref="C16" authorId="0" shapeId="0">
      <text>
        <t>3×3×3=27. Không có tổ hợp nào bất khả thi: mốc ngày là dữ liệu chuẩn phía bộ thử, kể cả khi khách chưa nêu mã. Trợ lý vẫn phải hỏi/tra cứu trước khi dùng ngày nhận; không lấy lời khách làm kết quả công cụ.</t>
      </text>
    </comment>
    <comment ref="C18" authorId="0" shapeId="0">
      <text>
        <t>Chọn 16/27 tình huống theo rủi ro, gồm 8 tình huống viết chi tiết ở X3. Ưu tiên thiếu mã, nhiều đơn, ranh 7/8 và 30/31 ngày, hàng lỗi và các lỗi đã quan sát; chốt tập trước khi sửa câu lệnh.</t>
      </text>
    </comment>
    <comment ref="C19" authorId="0" shapeId="0">
      <text>
        <t>Mỗi tình huống có 3 cách diễn đạt cùng dữ kiện và cùng hành vi mong đợi. 16×3=48 đầu vào; biến thể không tính là chiều mới.</t>
      </text>
    </comment>
    <comment ref="B25" authorId="0" shapeId="0">
      <text>
        <t>Dữ liệu giả định: MS-1201 đã giao, nhận 2 ngày trước; khách xác nhận còn tem và đổi lần đầu.</t>
      </text>
    </comment>
    <comment ref="B26" authorId="0" shapeId="0">
      <text>
        <t>Dữ liệu giả định: MS-1202 đã giao, nhận 5 ngày trước, yêu cầu trả thông thường.</t>
      </text>
    </comment>
    <comment ref="B27" authorId="0" shapeId="0">
      <text>
        <t>Không được coi câu khách nói 3 ngày là kết quả tra cứu. Chưa có định danh để gọi tra_cuu_don.</t>
      </text>
    </comment>
    <comment ref="B28" authorId="0" shapeId="0">
      <text>
        <t>Dữ liệu giả định sau khi khách cung cấp số điện thoại: tra_cuu_don trả MS-1187 và MS-1188. Đây là ca mơ hồ tương ứng W2.</t>
      </text>
    </comment>
    <comment ref="B29" authorId="0" shapeId="0">
      <text>
        <t>Dữ liệu giả định: cả hai đơn đã giao; MS-1204 nhận 5 ngày, MS-1205 nhận 2 ngày. Hai yêu cầu phải giữ liên kết mã–thao tác.</t>
      </text>
    </comment>
    <comment ref="B30" authorId="0" shapeId="0">
      <text>
        <t>Dữ liệu giả định: MS-1206 đã giao, nhận 20 ngày trước; lỗi nằm trong mốc 30 ngày.</t>
      </text>
    </comment>
    <comment ref="B31" authorId="0" shapeId="0">
      <text>
        <t>Ca đã từng được hứa hoàn sai ở câu 2.13. Giữ mã MS-0871 để chặn tái phát; fixture: không lỗi, nhận 20 ngày.</t>
      </text>
    </comment>
    <comment ref="B32" authorId="0" shapeId="0">
      <text>
        <t>Giữ lại lỗi đã quan sát ở vết W1 (thiếu tra cứu) làm ca chống tái phát. Fixture: đã giao, nhận đúng 7 ngày; tình trạng tem/lần đổi chưa biết. Kiểm thêm biến thể ngày 8 trong tập 16 tình huống.</t>
      </text>
    </comment>
    <comment ref="G63" authorId="1" shapeId="0">
      <text>
        <t>Ngưỡng chốt trước chạy. Mẫu số là số ca áp dụng trong bộ thử; ca không áp dụng ghi riêng, không cộng làm ca Đạt. Với giám khảo AI: phải đạt ngưỡng TPR và TNR trên tập kiểm tra giữ riêng, chênh với tập hiệu chỉnh ≤5 điểm. Nếu chưa đạt (như X6) thì chuyên gia chấm tiêu chí tương ứng; không dùng giám khảo đó để quyết định phát hành.</t>
      </text>
    </comment>
    <comment ref="G64" authorId="1" shapeId="0">
      <text>
        <t>Ngưỡng chốt trước chạy. Mẫu số là số ca áp dụng trong bộ thử; ca không áp dụng ghi riêng, không cộng làm ca Đạt. Với giám khảo AI: phải đạt ngưỡng TPR và TNR trên tập kiểm tra giữ riêng, chênh với tập hiệu chỉnh ≤5 điểm. Nếu chưa đạt (như X6) thì chuyên gia chấm tiêu chí tương ứng; không dùng giám khảo đó để quyết định phát hành.</t>
      </text>
    </comment>
    <comment ref="G65" authorId="1" shapeId="0">
      <text>
        <t>Ngưỡng chốt trước chạy. Mẫu số là số ca áp dụng trong bộ thử; ca không áp dụng ghi riêng, không cộng làm ca Đạt. Với giám khảo AI: phải đạt ngưỡng TPR và TNR trên tập kiểm tra giữ riêng, chênh với tập hiệu chỉnh ≤5 điểm. Nếu chưa đạt (như X6) thì chuyên gia chấm tiêu chí tương ứng; không dùng giám khảo đó để quyết định phát hành.</t>
      </text>
    </comment>
    <comment ref="G66" authorId="1" shapeId="0">
      <text>
        <t>Ngưỡng chốt trước chạy. Mẫu số là số ca áp dụng trong bộ thử; ca không áp dụng ghi riêng, không cộng làm ca Đạt. Với giám khảo AI: phải đạt ngưỡng TPR và TNR trên tập kiểm tra giữ riêng, chênh với tập hiệu chỉnh ≤5 điểm. Nếu chưa đạt (như X6) thì chuyên gia chấm tiêu chí tương ứng; không dùng giám khảo đó để quyết định phát hành.</t>
      </text>
    </comment>
    <comment ref="F84" authorId="0" shapeId="0">
      <text>
        <t>TPR=12/(12+2)=85,714% &lt;90%; TNR=6/(6+0)=100% ≥90%. Chặn nhầm tin 2 và 10: thêm ví dụ Đạt sát ranh và mục không bắt buộc, chấm lại; chưa đưa giám khảo này vào dùng.</t>
      </text>
    </comment>
    <comment ref="C105" authorId="0" shapeId="0">
      <text>
        <t>Nhãn 94≥90; không bịa 100=100; tra cứu 98≥95; cảm xúc 82≥80; chuyển người 92≥90; trung vị 1,7&lt;2 giây. Cảm xúc giảm đúng 2 điểm, không phải QUÁ 2 điểm. X7 giả định giám khảo cho tiêu chí cảm xúc đã hiệu chỉnh; giám khảo rủi ro cao ở X6 là bài hiệu chỉnh khác.</t>
      </text>
    </comment>
    <comment ref="C110" authorId="0" shapeId="0">
      <text>
        <t>150/200 = 75%: tỷ lệ đạt nền của hệ thống, khác tỷ lệ khớp của giám khảo.</t>
      </text>
    </comment>
    <comment ref="C111" authorId="0" shapeId="0">
      <text>
        <t>200−150 = 50 ca Không đạt; lưu làm bộ chống tái phát.</t>
      </text>
    </comment>
    <comment ref="C112" authorId="0" shapeId="0">
      <text>
        <t>168/200 = 84% khớp chuyên gia. Chỉ tỷ lệ khớp chưa đủ kết luận giám khảo đạt TPR/TNR.</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filterMode="0">
    <outlinePr summaryBelow="1" summaryRight="1"/>
    <pageSetUpPr fitToPage="1"/>
  </sheetPr>
  <dimension ref="A1:D3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6" min="1" max="1"/>
    <col width="14" customWidth="1" style="26" min="2" max="2"/>
    <col width="70" customWidth="1" style="26" min="3" max="3"/>
    <col width="12" customWidth="1" style="26" min="4" max="4"/>
  </cols>
  <sheetData>
    <row r="1" ht="17.35" customHeight="1" s="27">
      <c r="A1" s="28" t="inlineStr">
        <is>
          <t>CS12 · Đánh giá sản phẩm AI · Bài tập buổi sáng 16/10/2026</t>
        </is>
      </c>
    </row>
    <row r="2" ht="33" customHeight="1" s="27">
      <c r="A2" s="29" t="inlineStr">
        <is>
          <t>AI in Action · Track 1 · Khóa 4. Bài tập đi kèm bộ slide "AI Evaluation" của chị Mai Anh Nguyen (66 trang). Slide của chị Mai Anh giữ nguyên; file này là phần thực hành.</t>
        </is>
      </c>
    </row>
    <row r="3"/>
    <row r="4" ht="33" customHeight="1" s="27">
      <c r="A4" s="30" t="inlineStr">
        <is>
          <t>Luật chơi: CHỈ điền vào ô màu VÀNG. Ô màu XANH LÁ NHẠT tự tính và đã khoá. Cột "Kiểm tra" báo Đúng hoặc Chưa đúng ngay khi điền.</t>
        </is>
      </c>
    </row>
    <row r="5" ht="33" customHeight="1" s="27">
      <c r="A5" s="31" t="inlineStr">
        <is>
          <t>Bài 1–5 (10–12 phút mỗi bài, sau mỗi phần trình chiếu): làm CÁ NHÂN, không tính điểm, để tự biết mình đã hiểu chưa. Chưa đúng: đọc lại trang slide ghi ở cột "Trang", sửa, rồi hỏi trong khung chat.</t>
        </is>
      </c>
    </row>
    <row r="6" ht="33" customHeight="1" s="27">
      <c r="A6" s="31" t="inlineStr">
        <is>
          <t>Xưởng (50 phút, cuối buổi): làm THEO NHÓM 4–6 người trong phòng nhóm. Có chấm điểm theo trang "Thang điểm". Mỗi nhóm nộp 1 file.</t>
        </is>
      </c>
    </row>
    <row r="7" ht="33" customHeight="1" s="27">
      <c r="A7" s="31" t="inlineStr">
        <is>
          <t>Mọi bài dùng chung một tình huống giả định: trợ lý đổi trả của cửa hàng Mộc Store. Đọc trang "0_Tình huống" trước Bài 1 (3 phút).</t>
        </is>
      </c>
    </row>
    <row r="8" ht="33" customHeight="1" s="27">
      <c r="A8" s="31" t="inlineStr">
        <is>
          <t>Tên file nộp: [Nhom]_CS12.xlsx · Nộp lên VLearn trước 13:00 ngày 16/10. Chỉ cần trang Xưởng đã điền; Bài 1–5 điền hay không đều được.</t>
        </is>
      </c>
    </row>
    <row r="9" ht="18" customHeight="1" s="27">
      <c r="A9" s="31" t="inlineStr">
        <is>
          <t>Tỷ lệ gõ kèm dấu % (ví dụ 84%). Số thập phân dùng dấu phẩy hay dấu chấm tùy máy; nếu ô báo "Gõ một số" thì đổi dấu.</t>
        </is>
      </c>
    </row>
    <row r="10" ht="18" customHeight="1" s="27">
      <c r="A10" s="31" t="inlineStr">
        <is>
          <t>Đáp án và giải thích: giảng viên chiếu ngay sau mỗi bài; bản đáp án đầy đủ gửi sau buổi học.</t>
        </is>
      </c>
    </row>
    <row r="11"/>
    <row r="12" ht="15" customHeight="1" s="27">
      <c r="A12" s="32" t="inlineStr">
        <is>
          <t>Lịch buổi sáng 16/10 (trực tuyến)</t>
        </is>
      </c>
    </row>
    <row r="13" ht="18" customHeight="1" s="27">
      <c r="A13" s="33" t="inlineStr">
        <is>
          <t>Giờ</t>
        </is>
      </c>
      <c r="B13" s="33" t="inlineStr">
        <is>
          <t>Hoạt động</t>
        </is>
      </c>
      <c r="C13" s="33" t="inlineStr">
        <is>
          <t>Nội dung</t>
        </is>
      </c>
      <c r="D13" s="33" t="inlineStr">
        <is>
          <t>Thời lượng</t>
        </is>
      </c>
    </row>
    <row r="14" ht="33" customHeight="1" s="27">
      <c r="A14" s="34" t="inlineStr">
        <is>
          <t>09:00–09:05</t>
        </is>
      </c>
      <c r="B14" s="34" t="inlineStr">
        <is>
          <t>Mở đầu</t>
        </is>
      </c>
      <c r="C14" s="34" t="inlineStr">
        <is>
          <t>Chào lớp; giới thiệu tình huống Mộc Store (slide bài tập 1–9); trợ giảng gửi đường dẫn tài liệu</t>
        </is>
      </c>
      <c r="D14" s="34" t="n"/>
    </row>
    <row r="15" ht="18" customHeight="1" s="27">
      <c r="A15" s="34" t="inlineStr">
        <is>
          <t>09:05–09:20</t>
        </is>
      </c>
      <c r="B15" s="34" t="inlineStr">
        <is>
          <t>Trình chiếu</t>
        </is>
      </c>
      <c r="C15" s="34" t="inlineStr">
        <is>
          <t>Trang 1–12: khoảng trống đánh giá, tình huống Notion AI</t>
        </is>
      </c>
      <c r="D15" s="34" t="n"/>
    </row>
    <row r="16" ht="18" customHeight="1" s="27">
      <c r="A16" s="34" t="inlineStr">
        <is>
          <t>09:20–09:40</t>
        </is>
      </c>
      <c r="B16" s="34" t="inlineStr">
        <is>
          <t>Trình chiếu</t>
        </is>
      </c>
      <c r="C16" s="34" t="inlineStr">
        <is>
          <t>Phần 01 · trang 13–23: vòng đời đánh giá, báo cáo, tài liệu yêu cầu</t>
        </is>
      </c>
      <c r="D16" s="34" t="n"/>
    </row>
    <row r="17" ht="18" customHeight="1" s="27">
      <c r="A17" s="34" t="inlineStr">
        <is>
          <t>09:40–09:50</t>
        </is>
      </c>
      <c r="B17" s="35" t="inlineStr">
        <is>
          <t>Bài 1</t>
        </is>
      </c>
      <c r="C17" s="34" t="inlineStr">
        <is>
          <t>Đọc báo cáo đánh giá và thu hẹp phạm vi</t>
        </is>
      </c>
      <c r="D17" s="34" t="inlineStr">
        <is>
          <t>10 phút</t>
        </is>
      </c>
    </row>
    <row r="18" ht="18" customHeight="1" s="27">
      <c r="A18" s="34" t="inlineStr">
        <is>
          <t>09:50–10:05</t>
        </is>
      </c>
      <c r="B18" s="34" t="inlineStr">
        <is>
          <t>Trình chiếu</t>
        </is>
      </c>
      <c r="C18" s="34" t="inlineStr">
        <is>
          <t>Phần 02 · trang 24–30: phủ ca, lưới đầu vào, ngân hàng tình huống</t>
        </is>
      </c>
      <c r="D18" s="34" t="n"/>
    </row>
    <row r="19" ht="18" customHeight="1" s="27">
      <c r="A19" s="34" t="inlineStr">
        <is>
          <t>10:05–10:17</t>
        </is>
      </c>
      <c r="B19" s="35" t="inlineStr">
        <is>
          <t>Bài 2</t>
        </is>
      </c>
      <c r="C19" s="34" t="inlineStr">
        <is>
          <t>Phủ ca và chọn tình huống</t>
        </is>
      </c>
      <c r="D19" s="34" t="inlineStr">
        <is>
          <t>12 phút</t>
        </is>
      </c>
    </row>
    <row r="20" ht="18" customHeight="1" s="27">
      <c r="A20" s="34" t="inlineStr">
        <is>
          <t>10:17–10:27</t>
        </is>
      </c>
      <c r="B20" s="34" t="inlineStr">
        <is>
          <t>Nghỉ</t>
        </is>
      </c>
      <c r="C20" s="34" t="inlineStr">
        <is>
          <t>Nghỉ 10 phút</t>
        </is>
      </c>
      <c r="D20" s="34" t="n"/>
    </row>
    <row r="21" ht="18" customHeight="1" s="27">
      <c r="A21" s="34" t="inlineStr">
        <is>
          <t>10:27–10:40</t>
        </is>
      </c>
      <c r="B21" s="34" t="inlineStr">
        <is>
          <t>Trình chiếu</t>
        </is>
      </c>
      <c r="C21" s="34" t="inlineStr">
        <is>
          <t>Phần 03 · trang 31–36: đọc vết thực thi, mã lỗi</t>
        </is>
      </c>
      <c r="D21" s="34" t="n"/>
    </row>
    <row r="22" ht="18" customHeight="1" s="27">
      <c r="A22" s="34" t="inlineStr">
        <is>
          <t>10:40–10:50</t>
        </is>
      </c>
      <c r="B22" s="35" t="inlineStr">
        <is>
          <t>Bài 3</t>
        </is>
      </c>
      <c r="C22" s="34" t="inlineStr">
        <is>
          <t>Đọc vết thực thi, tìm bước sai đầu tiên</t>
        </is>
      </c>
      <c r="D22" s="34" t="inlineStr">
        <is>
          <t>10 phút</t>
        </is>
      </c>
    </row>
    <row r="23" ht="18" customHeight="1" s="27">
      <c r="A23" s="34" t="inlineStr">
        <is>
          <t>10:50–11:12</t>
        </is>
      </c>
      <c r="B23" s="34" t="inlineStr">
        <is>
          <t>Trình chiếu</t>
        </is>
      </c>
      <c r="C23" s="34" t="inlineStr">
        <is>
          <t>Phần 04–05 · trang 37–50: chấm tự động, chấm bằng mã lệnh</t>
        </is>
      </c>
      <c r="D23" s="34" t="n"/>
    </row>
    <row r="24" ht="18" customHeight="1" s="27">
      <c r="A24" s="34" t="inlineStr">
        <is>
          <t>11:12–11:22</t>
        </is>
      </c>
      <c r="B24" s="35" t="inlineStr">
        <is>
          <t>Bài 4</t>
        </is>
      </c>
      <c r="C24" s="34" t="inlineStr">
        <is>
          <t>Chọn cách chấm và ra kết luận</t>
        </is>
      </c>
      <c r="D24" s="34" t="inlineStr">
        <is>
          <t>10 phút</t>
        </is>
      </c>
    </row>
    <row r="25" ht="18" customHeight="1" s="27">
      <c r="A25" s="34" t="inlineStr">
        <is>
          <t>11:22–11:32</t>
        </is>
      </c>
      <c r="B25" s="34" t="inlineStr">
        <is>
          <t>Nghỉ</t>
        </is>
      </c>
      <c r="C25" s="34" t="inlineStr">
        <is>
          <t>Nghỉ 10 phút</t>
        </is>
      </c>
      <c r="D25" s="34" t="n"/>
    </row>
    <row r="26" ht="18" customHeight="1" s="27">
      <c r="A26" s="34" t="inlineStr">
        <is>
          <t>11:32–11:48</t>
        </is>
      </c>
      <c r="B26" s="34" t="inlineStr">
        <is>
          <t>Trình chiếu</t>
        </is>
      </c>
      <c r="C26" s="34" t="inlineStr">
        <is>
          <t>Phần 06 · trang 51–59: hiệu chỉnh giám khảo AI</t>
        </is>
      </c>
      <c r="D26" s="34" t="n"/>
    </row>
    <row r="27" ht="18" customHeight="1" s="27">
      <c r="A27" s="34" t="inlineStr">
        <is>
          <t>11:48–11:58</t>
        </is>
      </c>
      <c r="B27" s="35" t="inlineStr">
        <is>
          <t>Bài 5</t>
        </is>
      </c>
      <c r="C27" s="34" t="inlineStr">
        <is>
          <t>Hiệu chỉnh giám khảo AI</t>
        </is>
      </c>
      <c r="D27" s="34" t="inlineStr">
        <is>
          <t>10 phút</t>
        </is>
      </c>
    </row>
    <row r="28" ht="18" customHeight="1" s="27">
      <c r="A28" s="34" t="inlineStr">
        <is>
          <t>11:58–12:06</t>
        </is>
      </c>
      <c r="B28" s="34" t="inlineStr">
        <is>
          <t>Trình chiếu</t>
        </is>
      </c>
      <c r="C28" s="34" t="inlineStr">
        <is>
          <t>Phần 07 · trang 60–66: đưa chuyên gia vào vòng lặp, tổng kết</t>
        </is>
      </c>
      <c r="D28" s="34" t="n"/>
    </row>
    <row r="29" ht="33" customHeight="1" s="27">
      <c r="A29" s="34" t="inlineStr">
        <is>
          <t>12:06–12:56</t>
        </is>
      </c>
      <c r="B29" s="35" t="inlineStr">
        <is>
          <t>Xưởng</t>
        </is>
      </c>
      <c r="C29" s="34" t="inlineStr">
        <is>
          <t>Hướng dẫn 4 phút; làm trong phòng nhóm 12:10–12:53; soát và nộp 12:53–12:56 (nhóm 4–6 người, có chấm điểm)</t>
        </is>
      </c>
      <c r="D29" s="34" t="inlineStr">
        <is>
          <t>50 phút</t>
        </is>
      </c>
    </row>
    <row r="30" ht="18" customHeight="1" s="27">
      <c r="A30" s="34" t="inlineStr">
        <is>
          <t>12:56–13:00</t>
        </is>
      </c>
      <c r="B30" s="34" t="inlineStr">
        <is>
          <t>Nộp bài</t>
        </is>
      </c>
      <c r="C30" s="34" t="inlineStr">
        <is>
          <t>Nộp file lên VLearn, kết thúc buổi sáng</t>
        </is>
      </c>
      <c r="D30" s="34" t="n"/>
    </row>
  </sheetData>
  <sheetProtection selectLockedCells="0" selectUnlockedCells="0" sheet="1" objects="0" insertRows="1" insertHyperlinks="1" autoFilter="1" scenarios="0" formatColumns="1" deleteColumns="1" insertColumns="1" pivotTables="1" deleteRows="1" formatCells="1" formatRows="1" sort="1" password="c716"/>
  <mergeCells count="8">
    <mergeCell ref="A5:D5"/>
    <mergeCell ref="A9:D9"/>
    <mergeCell ref="A8:D8"/>
    <mergeCell ref="A6:D6"/>
    <mergeCell ref="A4:D4"/>
    <mergeCell ref="A7:D7"/>
    <mergeCell ref="A2:D2"/>
    <mergeCell ref="A10:D10"/>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C6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6" min="1" max="1"/>
    <col width="34" customWidth="1" style="26" min="2" max="2"/>
    <col width="70" customWidth="1" style="26" min="3" max="3"/>
  </cols>
  <sheetData>
    <row r="1" ht="17.35" customHeight="1" s="27">
      <c r="A1" s="28" t="inlineStr">
        <is>
          <t>Hồ sơ tình huống · Trợ lý đổi trả của Mộc Store (giả định)</t>
        </is>
      </c>
    </row>
    <row r="2" ht="33" customHeight="1" s="27">
      <c r="A2" s="29" t="inlineStr">
        <is>
          <t>Mộc Store là cửa hàng thời trang bán online (áo, quần, giày) qua website và Zalo. Tình huống giả định, dùng cho toàn bộ buổi sáng.</t>
        </is>
      </c>
    </row>
    <row r="3" ht="18" customHeight="1" s="27">
      <c r="A3" s="31" t="inlineStr">
        <is>
          <t>Trợ lý AI "Mộc" trả lời tin nhắn về đổi hàng, trả hàng và tình trạng đơn. Khoảng 300 tin nhắn loại này mỗi ngày.</t>
        </is>
      </c>
    </row>
    <row r="4" ht="18" customHeight="1" s="27">
      <c r="A4" s="31" t="inlineStr">
        <is>
          <t>Chuyên gia: chị Ngân, trưởng nhóm chăm sóc khách hàng, 6 năm kinh nghiệm. Chị là người định nghĩa thế nào là "đạt".</t>
        </is>
      </c>
    </row>
    <row r="5"/>
    <row r="6" ht="15" customHeight="1" s="27">
      <c r="A6" s="32" t="inlineStr">
        <is>
          <t>Chính sách đổi trả</t>
        </is>
      </c>
    </row>
    <row r="7" ht="18" customHeight="1" s="27">
      <c r="A7" s="33" t="inlineStr">
        <is>
          <t>Mã</t>
        </is>
      </c>
      <c r="B7" s="33" t="inlineStr">
        <is>
          <t>Nội dung</t>
        </is>
      </c>
      <c r="C7" s="33" t="inlineStr">
        <is>
          <t>Quy định</t>
        </is>
      </c>
    </row>
    <row r="8" ht="18" customHeight="1" s="27">
      <c r="A8" s="35" t="inlineStr">
        <is>
          <t>CS-1</t>
        </is>
      </c>
      <c r="B8" s="34" t="inlineStr">
        <is>
          <t>Đổi size hoặc màu</t>
        </is>
      </c>
      <c r="C8" s="34" t="inlineStr">
        <is>
          <t>Trong 7 ngày kể từ ngày nhận hàng, hàng còn tem mác. Miễn phí đổi lần đầu.</t>
        </is>
      </c>
    </row>
    <row r="9" ht="33" customHeight="1" s="27">
      <c r="A9" s="35" t="inlineStr">
        <is>
          <t>CS-2</t>
        </is>
      </c>
      <c r="B9" s="34" t="inlineStr">
        <is>
          <t>Trả hàng, hoàn tiền</t>
        </is>
      </c>
      <c r="C9" s="34" t="inlineStr">
        <is>
          <t>Trong 7 ngày kể từ ngày nhận hàng. Tiền hoàn trong 3–5 ngày làm việc sau khi kho nhận lại hàng.</t>
        </is>
      </c>
    </row>
    <row r="10" ht="33" customHeight="1" s="27">
      <c r="A10" s="35" t="inlineStr">
        <is>
          <t>CS-3</t>
        </is>
      </c>
      <c r="B10" s="34" t="inlineStr">
        <is>
          <t>Hàng lỗi (bong keo, rách, sai mẫu)</t>
        </is>
      </c>
      <c r="C10" s="34" t="inlineStr">
        <is>
          <t>Trong 30 ngày kể từ ngày nhận hàng. Trợ lý chuyển nhân viên xử lý, không tự hứa đền bù.</t>
        </is>
      </c>
    </row>
    <row r="11" ht="33" customHeight="1" s="27">
      <c r="A11" s="35" t="inlineStr">
        <is>
          <t>CS-4</t>
        </is>
      </c>
      <c r="B11" s="34" t="inlineStr">
        <is>
          <t>Tra cứu trước khi hứa</t>
        </is>
      </c>
      <c r="C11" s="34" t="inlineStr">
        <is>
          <t>Trước khi xác nhận đổi, trả hay hoàn tiền: phải tra cứu đơn (ngày nhận, trạng thái).</t>
        </is>
      </c>
    </row>
    <row r="12" ht="18" customHeight="1" s="27">
      <c r="A12" s="35" t="inlineStr">
        <is>
          <t>CS-5</t>
        </is>
      </c>
      <c r="B12" s="34" t="inlineStr">
        <is>
          <t>Thiếu mã đơn</t>
        </is>
      </c>
      <c r="C12" s="34" t="inlineStr">
        <is>
          <t>Hỏi mã đơn hoặc số điện thoại đặt hàng. Không đoán đơn.</t>
        </is>
      </c>
    </row>
    <row r="13" ht="18" customHeight="1" s="27">
      <c r="A13" s="35" t="inlineStr">
        <is>
          <t>CS-6</t>
        </is>
      </c>
      <c r="B13" s="34" t="inlineStr">
        <is>
          <t>Khách muốn gặp người</t>
        </is>
      </c>
      <c r="C13" s="34" t="inlineStr">
        <is>
          <t>Khách yêu cầu gặp nhân viên, hoặc khiếu nại hàng lỗi: chuyển nhân viên.</t>
        </is>
      </c>
    </row>
    <row r="14"/>
    <row r="15" ht="18" customHeight="1" s="27">
      <c r="A15" s="30" t="inlineStr">
        <is>
          <t>4 nhãn ý định (giống trang 16): Đổi hàng · Trả hàng · Tra cứu đơn · Cần làm rõ</t>
        </is>
      </c>
    </row>
    <row r="16" ht="18" customHeight="1" s="27">
      <c r="A16" s="31" t="inlineStr">
        <is>
          <t>Tin khiếu nại hàng lỗi gắn nhãn Trả hàng kèm cờ "hàng lỗi: có". Tin không rõ đơn nào hoặc không rõ muốn gì gắn nhãn Cần làm rõ.</t>
        </is>
      </c>
    </row>
    <row r="17"/>
    <row r="18" ht="15" customHeight="1" s="27">
      <c r="A18" s="32" t="inlineStr">
        <is>
          <t>Công cụ trợ lý gọi được</t>
        </is>
      </c>
    </row>
    <row r="19" ht="18" customHeight="1" s="27">
      <c r="A19" s="33" t="n"/>
      <c r="B19" s="33" t="inlineStr">
        <is>
          <t>Công cụ</t>
        </is>
      </c>
      <c r="C19" s="33" t="inlineStr">
        <is>
          <t>Làm gì</t>
        </is>
      </c>
    </row>
    <row r="20" ht="18" customHeight="1" s="27">
      <c r="A20" s="34" t="inlineStr">
        <is>
          <t>1</t>
        </is>
      </c>
      <c r="B20" s="35" t="inlineStr">
        <is>
          <t>tra_cuu_don</t>
        </is>
      </c>
      <c r="C20" s="34" t="inlineStr">
        <is>
          <t>tra đơn theo mã đơn hoặc số điện thoại; trả về ngày nhận hàng và trạng thái</t>
        </is>
      </c>
    </row>
    <row r="21" ht="18" customHeight="1" s="27">
      <c r="A21" s="34" t="inlineStr">
        <is>
          <t>2</t>
        </is>
      </c>
      <c r="B21" s="35" t="inlineStr">
        <is>
          <t>tao_yeu_cau_doi_tra</t>
        </is>
      </c>
      <c r="C21" s="34" t="inlineStr">
        <is>
          <t>tạo yêu cầu đổi hoặc trả cho một mã đơn</t>
        </is>
      </c>
    </row>
    <row r="22" ht="18" customHeight="1" s="27">
      <c r="A22" s="34" t="inlineStr">
        <is>
          <t>3</t>
        </is>
      </c>
      <c r="B22" s="35" t="inlineStr">
        <is>
          <t>chuyen_nhan_vien</t>
        </is>
      </c>
      <c r="C22" s="34" t="inlineStr">
        <is>
          <t>chuyển cuộc trò chuyện cho nhân viên, kèm lý do</t>
        </is>
      </c>
    </row>
    <row r="23" ht="18" customHeight="1" s="27">
      <c r="A23" s="36" t="inlineStr">
        <is>
          <t>Chưa có công cụ tra tồn kho (dùng ở Bài 4).</t>
        </is>
      </c>
    </row>
    <row r="24"/>
    <row r="25" ht="15" customHeight="1" s="27">
      <c r="A25" s="32" t="inlineStr">
        <is>
          <t>Mã lỗi dùng ở Bài 3 và Xưởng (trang 35)</t>
        </is>
      </c>
    </row>
    <row r="26" ht="18" customHeight="1" s="27">
      <c r="A26" s="33" t="n"/>
      <c r="B26" s="33" t="inlineStr">
        <is>
          <t>Mã lỗi</t>
        </is>
      </c>
      <c r="C26" s="33" t="inlineStr">
        <is>
          <t>Nghĩa</t>
        </is>
      </c>
    </row>
    <row r="27" ht="18" customHeight="1" s="27">
      <c r="A27" s="34" t="inlineStr">
        <is>
          <t>1</t>
        </is>
      </c>
      <c r="B27" s="35" t="inlineStr">
        <is>
          <t>wrong_intent</t>
        </is>
      </c>
      <c r="C27" s="34" t="inlineStr">
        <is>
          <t>Hiểu sai nhu cầu chính của khách</t>
        </is>
      </c>
    </row>
    <row r="28" ht="18" customHeight="1" s="27">
      <c r="A28" s="34" t="inlineStr">
        <is>
          <t>2</t>
        </is>
      </c>
      <c r="B28" s="35" t="inlineStr">
        <is>
          <t>missing_lookup</t>
        </is>
      </c>
      <c r="C28" s="34" t="inlineStr">
        <is>
          <t>Không tra cứu dữ liệu trước khi trả lời</t>
        </is>
      </c>
    </row>
    <row r="29" ht="18" customHeight="1" s="27">
      <c r="A29" s="34" t="inlineStr">
        <is>
          <t>3</t>
        </is>
      </c>
      <c r="B29" s="35" t="inlineStr">
        <is>
          <t>premature_commit</t>
        </is>
      </c>
      <c r="C29" s="34" t="inlineStr">
        <is>
          <t>Hứa kết quả khi chưa đủ điều kiện</t>
        </is>
      </c>
    </row>
    <row r="30" ht="18" customHeight="1" s="27">
      <c r="A30" s="34" t="inlineStr">
        <is>
          <t>4</t>
        </is>
      </c>
      <c r="B30" s="35" t="inlineStr">
        <is>
          <t>missing_escalation</t>
        </is>
      </c>
      <c r="C30" s="34" t="inlineStr">
        <is>
          <t>Không chuyển nhân viên khi vượt thẩm quyền</t>
        </is>
      </c>
    </row>
    <row r="31" ht="18" customHeight="1" s="27">
      <c r="A31" s="34" t="inlineStr">
        <is>
          <t>5</t>
        </is>
      </c>
      <c r="B31" s="35" t="inlineStr">
        <is>
          <t>no_next_step</t>
        </is>
      </c>
      <c r="C31" s="34" t="inlineStr">
        <is>
          <t>Đúng chính sách nhưng thiếu bước tiếp theo</t>
        </is>
      </c>
    </row>
    <row r="32"/>
    <row r="33" ht="15" customHeight="1" s="27">
      <c r="A33" s="32" t="inlineStr">
        <is>
          <t>Bảng đối chiếu từ ngữ: slide của chị Mai Anh ↔ bài tập</t>
        </is>
      </c>
    </row>
    <row r="34" ht="18" customHeight="1" s="27">
      <c r="A34" s="33" t="n"/>
      <c r="B34" s="33" t="inlineStr">
        <is>
          <t>Trên slide</t>
        </is>
      </c>
      <c r="C34" s="33" t="inlineStr">
        <is>
          <t>Trong bài tập</t>
        </is>
      </c>
    </row>
    <row r="35" ht="18" customHeight="1" s="27">
      <c r="A35" s="34" t="inlineStr">
        <is>
          <t>1</t>
        </is>
      </c>
      <c r="B35" s="34" t="inlineStr">
        <is>
          <t>eval, evals</t>
        </is>
      </c>
      <c r="C35" s="34" t="inlineStr">
        <is>
          <t>bài đánh giá</t>
        </is>
      </c>
    </row>
    <row r="36" ht="18" customHeight="1" s="27">
      <c r="A36" s="34" t="inlineStr">
        <is>
          <t>2</t>
        </is>
      </c>
      <c r="B36" s="34" t="inlineStr">
        <is>
          <t>reference dataset, dataset</t>
        </is>
      </c>
      <c r="C36" s="34" t="inlineStr">
        <is>
          <t>bộ đề chuẩn, bộ đề</t>
        </is>
      </c>
    </row>
    <row r="37" ht="18" customHeight="1" s="27">
      <c r="A37" s="34" t="inlineStr">
        <is>
          <t>3</t>
        </is>
      </c>
      <c r="B37" s="34" t="inlineStr">
        <is>
          <t>golden outputs</t>
        </is>
      </c>
      <c r="C37" s="34" t="inlineStr">
        <is>
          <t>đáp án mẫu</t>
        </is>
      </c>
    </row>
    <row r="38" ht="18" customHeight="1" s="27">
      <c r="A38" s="34" t="inlineStr">
        <is>
          <t>4</t>
        </is>
      </c>
      <c r="B38" s="34" t="inlineStr">
        <is>
          <t>baseline · candidate</t>
        </is>
      </c>
      <c r="C38" s="34" t="inlineStr">
        <is>
          <t>bản đang chạy · bản mới</t>
        </is>
      </c>
    </row>
    <row r="39" ht="18" customHeight="1" s="27">
      <c r="A39" s="34" t="inlineStr">
        <is>
          <t>5</t>
        </is>
      </c>
      <c r="B39" s="34" t="inlineStr">
        <is>
          <t>pass rate</t>
        </is>
      </c>
      <c r="C39" s="34" t="inlineStr">
        <is>
          <t>tỷ lệ đạt</t>
        </is>
      </c>
    </row>
    <row r="40" ht="18" customHeight="1" s="27">
      <c r="A40" s="34" t="inlineStr">
        <is>
          <t>6</t>
        </is>
      </c>
      <c r="B40" s="34" t="inlineStr">
        <is>
          <t>quality gate, threshold</t>
        </is>
      </c>
      <c r="C40" s="34" t="inlineStr">
        <is>
          <t>cổng chất lượng, ngưỡng</t>
        </is>
      </c>
    </row>
    <row r="41" ht="18" customHeight="1" s="27">
      <c r="A41" s="34" t="inlineStr">
        <is>
          <t>7</t>
        </is>
      </c>
      <c r="B41" s="34" t="inlineStr">
        <is>
          <t>regression</t>
        </is>
      </c>
      <c r="C41" s="34" t="inlineStr">
        <is>
          <t>hồi quy: ca trước đạt, nay trượt</t>
        </is>
      </c>
    </row>
    <row r="42" ht="18" customHeight="1" s="27">
      <c r="A42" s="34" t="inlineStr">
        <is>
          <t>8</t>
        </is>
      </c>
      <c r="B42" s="34" t="inlineStr">
        <is>
          <t>slice</t>
        </is>
      </c>
      <c r="C42" s="34" t="inlineStr">
        <is>
          <t>nhóm (cắt theo một thuộc tính)</t>
        </is>
      </c>
    </row>
    <row r="43" ht="18" customHeight="1" s="27">
      <c r="A43" s="34" t="inlineStr">
        <is>
          <t>9</t>
        </is>
      </c>
      <c r="B43" s="34" t="inlineStr">
        <is>
          <t>unit of AI work</t>
        </is>
      </c>
      <c r="C43" s="34" t="inlineStr">
        <is>
          <t>đơn vị công việc AI</t>
        </is>
      </c>
    </row>
    <row r="44" ht="18" customHeight="1" s="27">
      <c r="A44" s="34" t="inlineStr">
        <is>
          <t>10</t>
        </is>
      </c>
      <c r="B44" s="34" t="inlineStr">
        <is>
          <t>dimension</t>
        </is>
      </c>
      <c r="C44" s="34" t="inlineStr">
        <is>
          <t>chiều</t>
        </is>
      </c>
    </row>
    <row r="45" ht="18" customHeight="1" s="27">
      <c r="A45" s="34" t="inlineStr">
        <is>
          <t>11</t>
        </is>
      </c>
      <c r="B45" s="34" t="inlineStr">
        <is>
          <t>User Input Grid</t>
        </is>
      </c>
      <c r="C45" s="34" t="inlineStr">
        <is>
          <t>lưới đầu vào</t>
        </is>
      </c>
    </row>
    <row r="46" ht="33" customHeight="1" s="27">
      <c r="A46" s="34" t="inlineStr">
        <is>
          <t>12</t>
        </is>
      </c>
      <c r="B46" s="34" t="inlineStr">
        <is>
          <t>representative · challenge · critical regression</t>
        </is>
      </c>
      <c r="C46" s="34" t="inlineStr">
        <is>
          <t>đại diện · thử thách · hồi quy nghiêm trọng</t>
        </is>
      </c>
    </row>
    <row r="47" ht="18" customHeight="1" s="27">
      <c r="A47" s="34" t="inlineStr">
        <is>
          <t>13</t>
        </is>
      </c>
      <c r="B47" s="34" t="inlineStr">
        <is>
          <t>trace · transcript</t>
        </is>
      </c>
      <c r="C47" s="34" t="inlineStr">
        <is>
          <t>vết thực thi · lời trợ lý nói</t>
        </is>
      </c>
    </row>
    <row r="48" ht="18" customHeight="1" s="27">
      <c r="A48" s="34" t="inlineStr">
        <is>
          <t>14</t>
        </is>
      </c>
      <c r="B48" s="34" t="inlineStr">
        <is>
          <t>trace codes</t>
        </is>
      </c>
      <c r="C48" s="34" t="inlineStr">
        <is>
          <t>mã lỗi (giữ nguyên tên như trang 35)</t>
        </is>
      </c>
    </row>
    <row r="49" ht="33" customHeight="1" s="27">
      <c r="A49" s="34" t="inlineStr">
        <is>
          <t>15</t>
        </is>
      </c>
      <c r="B49" s="34" t="inlineStr">
        <is>
          <t>specification gap · architectural issue · generalization gap</t>
        </is>
      </c>
      <c r="C49" s="34" t="inlineStr">
        <is>
          <t>thiếu đặc tả · thiếu năng lực hệ thống · thiếu nhất quán</t>
        </is>
      </c>
    </row>
    <row r="50" ht="18" customHeight="1" s="27">
      <c r="A50" s="34" t="inlineStr">
        <is>
          <t>16</t>
        </is>
      </c>
      <c r="B50" s="34" t="inlineStr">
        <is>
          <t>code-based eval</t>
        </is>
      </c>
      <c r="C50" s="34" t="inlineStr">
        <is>
          <t>chấm bằng mã lệnh</t>
        </is>
      </c>
    </row>
    <row r="51" ht="18" customHeight="1" s="27">
      <c r="A51" s="34" t="inlineStr">
        <is>
          <t>17</t>
        </is>
      </c>
      <c r="B51" s="34" t="inlineStr">
        <is>
          <t>LLM judge, LLM-as-judge</t>
        </is>
      </c>
      <c r="C51" s="34" t="inlineStr">
        <is>
          <t>giám khảo AI</t>
        </is>
      </c>
    </row>
    <row r="52" ht="18" customHeight="1" s="27">
      <c r="A52" s="34" t="inlineStr">
        <is>
          <t>18</t>
        </is>
      </c>
      <c r="B52" s="34" t="inlineStr">
        <is>
          <t>referent</t>
        </is>
      </c>
      <c r="C52" s="34" t="inlineStr">
        <is>
          <t>căn cứ kiểm chứng</t>
        </is>
      </c>
    </row>
    <row r="53" ht="18" customHeight="1" s="27">
      <c r="A53" s="34" t="inlineStr">
        <is>
          <t>19</t>
        </is>
      </c>
      <c r="B53" s="34" t="inlineStr">
        <is>
          <t>calibration</t>
        </is>
      </c>
      <c r="C53" s="34" t="inlineStr">
        <is>
          <t>hiệu chỉnh</t>
        </is>
      </c>
    </row>
    <row r="54" ht="18" customHeight="1" s="27">
      <c r="A54" s="34" t="inlineStr">
        <is>
          <t>20</t>
        </is>
      </c>
      <c r="B54" s="34" t="inlineStr">
        <is>
          <t>TPR</t>
        </is>
      </c>
      <c r="C54" s="34" t="inlineStr">
        <is>
          <t>tỷ lệ nhận đúng ca đạt</t>
        </is>
      </c>
    </row>
    <row r="55" ht="18" customHeight="1" s="27">
      <c r="A55" s="34" t="inlineStr">
        <is>
          <t>21</t>
        </is>
      </c>
      <c r="B55" s="34" t="inlineStr">
        <is>
          <t>TNR</t>
        </is>
      </c>
      <c r="C55" s="34" t="inlineStr">
        <is>
          <t>tỷ lệ bắt đúng ca trượt</t>
        </is>
      </c>
    </row>
    <row r="56" ht="18" customHeight="1" s="27">
      <c r="A56" s="34" t="inlineStr">
        <is>
          <t>22</t>
        </is>
      </c>
      <c r="B56" s="34" t="inlineStr">
        <is>
          <t>near-miss example</t>
        </is>
      </c>
      <c r="C56" s="34" t="inlineStr">
        <is>
          <t>ví dụ sát ranh</t>
        </is>
      </c>
    </row>
    <row r="57" ht="18" customHeight="1" s="27">
      <c r="A57" s="34" t="inlineStr">
        <is>
          <t>23</t>
        </is>
      </c>
      <c r="B57" s="34" t="inlineStr">
        <is>
          <t>dev set · test set</t>
        </is>
      </c>
      <c r="C57" s="34" t="inlineStr">
        <is>
          <t>tập hiệu chỉnh · tập kiểm tra giữ riêng</t>
        </is>
      </c>
    </row>
    <row r="58" ht="18" customHeight="1" s="27">
      <c r="A58" s="34" t="inlineStr">
        <is>
          <t>24</t>
        </is>
      </c>
      <c r="B58" s="34" t="inlineStr">
        <is>
          <t>Ship · Iterate · Revert</t>
        </is>
      </c>
      <c r="C58" s="34" t="inlineStr">
        <is>
          <t>Phát hành · Lặp tiếp · Quay về bản cũ</t>
        </is>
      </c>
    </row>
    <row r="59" ht="18" customHeight="1" s="27">
      <c r="A59" s="34" t="inlineStr">
        <is>
          <t>25</t>
        </is>
      </c>
      <c r="B59" s="34" t="inlineStr">
        <is>
          <t>prompt · tool call · latency</t>
        </is>
      </c>
      <c r="C59" s="34" t="inlineStr">
        <is>
          <t>câu lệnh · lời gọi công cụ · thời gian phản hồi</t>
        </is>
      </c>
    </row>
    <row r="60" ht="18" customHeight="1" s="27">
      <c r="A60" s="34" t="inlineStr">
        <is>
          <t>26</t>
        </is>
      </c>
      <c r="B60" s="34" t="inlineStr">
        <is>
          <t>expert in the loop</t>
        </is>
      </c>
      <c r="C60" s="34" t="inlineStr">
        <is>
          <t>đưa chuyên gia vào vòng lặp</t>
        </is>
      </c>
    </row>
  </sheetData>
  <sheetProtection selectLockedCells="0" selectUnlockedCells="0" sheet="1" objects="0" insertRows="1" insertHyperlinks="1" autoFilter="1" scenarios="0" formatColumns="1" deleteColumns="1" insertColumns="1" pivotTables="1" deleteRows="1" formatCells="1" formatRows="1" sort="1" password="c716"/>
  <mergeCells count="6">
    <mergeCell ref="A23:C23"/>
    <mergeCell ref="A2:C2"/>
    <mergeCell ref="A3:C3"/>
    <mergeCell ref="A15:C15"/>
    <mergeCell ref="A4:C4"/>
    <mergeCell ref="A16:C16"/>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E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70" customWidth="1" style="26" min="2" max="2"/>
    <col width="22" customWidth="1" style="26" min="3" max="3"/>
    <col width="14" customWidth="1" style="26" min="4" max="4"/>
    <col width="13" customWidth="1" style="26" min="5" max="5"/>
  </cols>
  <sheetData>
    <row r="1" ht="17.35" customHeight="1" s="27">
      <c r="A1" s="28" t="inlineStr">
        <is>
          <t>Bài 1 · Đọc báo cáo đánh giá và thu hẹp phạm vi (10 phút) · sau Phần 01 · trang 13–23</t>
        </is>
      </c>
    </row>
    <row r="2" ht="18" customHeight="1" s="27">
      <c r="A2" s="29" t="inlineStr">
        <is>
          <t>Làm cá nhân, không tính điểm. Điền ô vàng ở cột C; cột D tự báo kết quả.</t>
        </is>
      </c>
    </row>
    <row r="3"/>
    <row r="4" ht="18" customHeight="1" s="27">
      <c r="A4" s="31" t="inlineStr">
        <is>
          <t>Nhóm vừa đổi câu lệnh của trợ lý Mộc (v1.3 → v1.4) và chạy lại trên bộ đề chuẩn 50 tin nhắn đã có nhãn đúng.</t>
        </is>
      </c>
    </row>
    <row r="5" ht="18" customHeight="1" s="27">
      <c r="A5" s="31" t="inlineStr">
        <is>
          <t>Cổng chất lượng chốt trước khi chạy: tỷ lệ đúng tổng từ 82% trở lên.</t>
        </is>
      </c>
    </row>
    <row r="6" ht="18" customHeight="1" s="27">
      <c r="A6" s="31" t="inlineStr">
        <is>
          <t>Có 3 tin "hồi quy" (v1.3 đúng, v1.4 sai), cả 3 nằm ở nhóm Tra cứu đơn.</t>
        </is>
      </c>
    </row>
    <row r="7"/>
    <row r="8" ht="33" customHeight="1" s="27">
      <c r="A8" s="33" t="inlineStr">
        <is>
          <t>Nhóm ý định</t>
        </is>
      </c>
      <c r="B8" s="37" t="n"/>
      <c r="C8" s="33" t="inlineStr">
        <is>
          <t>Số tin trong bộ đề</t>
        </is>
      </c>
      <c r="D8" s="33" t="inlineStr">
        <is>
          <t>v1.3 đúng (bản đang chạy)</t>
        </is>
      </c>
      <c r="E8" s="33" t="inlineStr">
        <is>
          <t>v1.4 đúng (bản mới)</t>
        </is>
      </c>
    </row>
    <row r="9" ht="18" customHeight="1" s="27">
      <c r="A9" s="34" t="inlineStr">
        <is>
          <t>Đổi hàng</t>
        </is>
      </c>
      <c r="B9" s="37" t="n"/>
      <c r="C9" s="34" t="n">
        <v>20</v>
      </c>
      <c r="D9" s="34" t="n">
        <v>16</v>
      </c>
      <c r="E9" s="34" t="n">
        <v>19</v>
      </c>
    </row>
    <row r="10" ht="18" customHeight="1" s="27">
      <c r="A10" s="34" t="inlineStr">
        <is>
          <t>Trả hàng</t>
        </is>
      </c>
      <c r="B10" s="37" t="n"/>
      <c r="C10" s="34" t="n">
        <v>20</v>
      </c>
      <c r="D10" s="34" t="n">
        <v>15</v>
      </c>
      <c r="E10" s="34" t="n">
        <v>17</v>
      </c>
    </row>
    <row r="11" ht="18" customHeight="1" s="27">
      <c r="A11" s="34" t="inlineStr">
        <is>
          <t>Tra cứu đơn</t>
        </is>
      </c>
      <c r="B11" s="37" t="n"/>
      <c r="C11" s="34" t="n">
        <v>10</v>
      </c>
      <c r="D11" s="34" t="n">
        <v>9</v>
      </c>
      <c r="E11" s="34" t="n">
        <v>6</v>
      </c>
    </row>
    <row r="12" ht="18" customHeight="1" s="27">
      <c r="A12" s="35" t="inlineStr">
        <is>
          <t>Tổng</t>
        </is>
      </c>
      <c r="B12" s="37" t="n"/>
      <c r="C12" s="35" t="n">
        <v>50</v>
      </c>
      <c r="D12" s="35" t="n">
        <v>40</v>
      </c>
      <c r="E12" s="35" t="n">
        <v>42</v>
      </c>
    </row>
    <row r="13"/>
    <row r="14" ht="33" customHeight="1" s="27">
      <c r="A14" s="31" t="inlineStr">
        <is>
          <t>Câu 1.6: A. Phát hành ngay: tổng tăng 4 điểm và đã qua cổng.  ·  B. Chưa phát hành: mở đọc 3 tin hồi quy ở nhóm Tra cứu đơn, hiểu vì sao sai rồi mới quyết định.  ·  C. Quay về v1.3: tổng chỉ tăng 2 tin, chắc chắn là nhiễu.</t>
        </is>
      </c>
    </row>
    <row r="15" ht="33" customHeight="1" s="27">
      <c r="A15" s="31" t="inlineStr">
        <is>
          <t>Câu 1.8: A. Làm khách hài lòng hơn mỗi khi đổi trả.  ·  B. Đọc 1 tin nhắn đổi trả → gắn đúng 1 trong 4 nhãn ý định, dưới 2 giây.  ·  C. Trả lời mọi câu hỏi của khách về đơn hàng và chính sách.</t>
        </is>
      </c>
    </row>
    <row r="16" ht="18" customHeight="1" s="27">
      <c r="A16" s="31" t="inlineStr">
        <is>
          <t>Câu 1.9: Trục 1. Tách theo việc  ·  Trục 2. Tách theo điều kiện đầu vào  ·  Trục 3. Tách theo mức tự chủ</t>
        </is>
      </c>
    </row>
    <row r="17"/>
    <row r="18" ht="18" customHeight="1" s="27">
      <c r="A18" s="33" t="inlineStr">
        <is>
          <t>Câu</t>
        </is>
      </c>
      <c r="B18" s="33" t="inlineStr">
        <is>
          <t>Đề</t>
        </is>
      </c>
      <c r="C18" s="33" t="inlineStr">
        <is>
          <t>Trả lời</t>
        </is>
      </c>
      <c r="D18" s="33" t="inlineStr">
        <is>
          <t>Kiểm tra</t>
        </is>
      </c>
      <c r="E18" s="33" t="inlineStr">
        <is>
          <t>Trang</t>
        </is>
      </c>
    </row>
    <row r="19" ht="42" customHeight="1" s="27">
      <c r="A19" s="35" t="inlineStr">
        <is>
          <t>1.1</t>
        </is>
      </c>
      <c r="B19" s="34" t="inlineStr">
        <is>
          <t>Trên bộ 50 tin, 1 tin đổi kết quả làm tỷ lệ đúng thay đổi bao nhiêu điểm phần trăm? (gõ một số)</t>
        </is>
      </c>
      <c r="C19" s="38" t="n">
        <v>2</v>
      </c>
      <c r="D19" s="39" t="str">
        <f>IF(C19="","",IF(ISNUMBER(C19),IF(ABS(C19-2)&lt;=0.01,"Đúng","Chưa đúng"),"Gõ một số"))</f>
        <v>Đúng</v>
      </c>
      <c r="E19" s="34" t="inlineStr">
        <is>
          <t>18</t>
        </is>
      </c>
    </row>
    <row r="20" ht="42" customHeight="1" s="27">
      <c r="A20" s="35" t="inlineStr">
        <is>
          <t>1.2</t>
        </is>
      </c>
      <c r="B20" s="34" t="inlineStr">
        <is>
          <t>Tỷ lệ đúng tổng của v1.4 là bao nhiêu? (gõ kèm %)</t>
        </is>
      </c>
      <c r="C20" s="40" t="n">
        <v>0.84</v>
      </c>
      <c r="D20" s="39" t="str">
        <f>IF(C20="","",IF(ISNUMBER(C20),IF(OR(ABS(C20-0.84)&lt;=0.006,ABS(C20-84)&lt;=0.6),"Đúng","Chưa đúng"),"Gõ một số"))</f>
        <v>Đúng</v>
      </c>
      <c r="E20" s="34" t="inlineStr">
        <is>
          <t>18</t>
        </is>
      </c>
    </row>
    <row r="21" ht="42" customHeight="1" s="27">
      <c r="A21" s="35" t="inlineStr">
        <is>
          <t>1.3</t>
        </is>
      </c>
      <c r="B21" s="34" t="inlineStr">
        <is>
          <t>v1.4 có qua cổng chất lượng (≥ 82%) không?  (chọn: Có / Không)</t>
        </is>
      </c>
      <c r="C21" s="41" t="inlineStr">
        <is>
          <t>Có</t>
        </is>
      </c>
      <c r="D21" s="39" t="str">
        <f>IF(C21="","",IF(C21="Có","Đúng","Chưa đúng"))</f>
        <v>Đúng</v>
      </c>
      <c r="E21" s="34" t="inlineStr">
        <is>
          <t>18</t>
        </is>
      </c>
    </row>
    <row r="22" ht="42" customHeight="1" s="27">
      <c r="A22" s="35" t="inlineStr">
        <is>
          <t>1.4</t>
        </is>
      </c>
      <c r="B22" s="34" t="inlineStr">
        <is>
          <t>Tỷ lệ đúng của nhóm Tra cứu đơn ở v1.4 là bao nhiêu? (gõ kèm %)</t>
        </is>
      </c>
      <c r="C22" s="40" t="n">
        <v>0.6</v>
      </c>
      <c r="D22" s="39" t="str">
        <f>IF(C22="","",IF(ISNUMBER(C22),IF(OR(ABS(C22-0.6)&lt;=0.006,ABS(C22-60)&lt;=0.6),"Đúng","Chưa đúng"),"Gõ một số"))</f>
        <v>Đúng</v>
      </c>
      <c r="E22" s="34" t="inlineStr">
        <is>
          <t>18</t>
        </is>
      </c>
    </row>
    <row r="23" ht="42" customHeight="1" s="27">
      <c r="A23" s="35" t="inlineStr">
        <is>
          <t>1.5</t>
        </is>
      </c>
      <c r="B23" s="34" t="inlineStr">
        <is>
          <t>Nhóm Tra cứu đơn tụt bao nhiêu điểm phần trăm? (gõ một số)</t>
        </is>
      </c>
      <c r="C23" s="38" t="n">
        <v>30</v>
      </c>
      <c r="D23" s="39" t="str">
        <f>IF(C23="","",IF(ISNUMBER(C23),IF(ABS(C23-30)&lt;=0.01,"Đúng","Chưa đúng"),"Gõ một số"))</f>
        <v>Đúng</v>
      </c>
      <c r="E23" s="34" t="inlineStr">
        <is>
          <t>18</t>
        </is>
      </c>
    </row>
    <row r="24" ht="42" customHeight="1" s="27">
      <c r="A24" s="35" t="inlineStr">
        <is>
          <t>1.6</t>
        </is>
      </c>
      <c r="B24" s="34" t="inlineStr">
        <is>
          <t>Kết luận nào đúng?</t>
        </is>
      </c>
      <c r="C24" s="41" t="inlineStr">
        <is>
          <t>B</t>
        </is>
      </c>
      <c r="D24" s="39" t="str">
        <f>IF(C24="","",IF(C24="B","Đúng","Chưa đúng"))</f>
        <v>Đúng</v>
      </c>
      <c r="E24" s="34" t="inlineStr">
        <is>
          <t>18</t>
        </is>
      </c>
    </row>
    <row r="25" ht="42" customHeight="1" s="27">
      <c r="A25" s="35" t="inlineStr">
        <is>
          <t>1.7</t>
        </is>
      </c>
      <c r="B25" s="34" t="inlineStr">
        <is>
          <t>Muốn tin một khoảng chênh 3 điểm phần trăm là thật (độ tin 95%), cần khoảng bao nhiêu ca?  (chọn: Khoảng 100 ca / Khoảng 1.000 ca / Khoảng 10.000 ca)</t>
        </is>
      </c>
      <c r="C25" s="41" t="inlineStr">
        <is>
          <t>Khoảng 1.000 ca</t>
        </is>
      </c>
      <c r="D25" s="39" t="str">
        <f>IF(C25="","",IF(C25="Khoảng 1.000 ca","Đúng","Chưa đúng"))</f>
        <v>Đúng</v>
      </c>
      <c r="E25" s="34" t="inlineStr">
        <is>
          <t>18</t>
        </is>
      </c>
    </row>
    <row r="26" ht="42" customHeight="1" s="27">
      <c r="A26" s="35" t="inlineStr">
        <is>
          <t>1.8</t>
        </is>
      </c>
      <c r="B26" s="34" t="inlineStr">
        <is>
          <t>Mục tiêu "Dùng AI để chăm sóc khách đổi trả tốt hơn" quá rộng. Câu nào là đơn vị công việc AI đo được?</t>
        </is>
      </c>
      <c r="C26" s="41" t="inlineStr">
        <is>
          <t>B</t>
        </is>
      </c>
      <c r="D26" s="39" t="str">
        <f>IF(C26="","",IF(C26="B","Đúng","Chưa đúng"))</f>
        <v>Đúng</v>
      </c>
      <c r="E26" s="34" t="inlineStr">
        <is>
          <t>23</t>
        </is>
      </c>
    </row>
    <row r="27" ht="42" customHeight="1" s="27">
      <c r="A27" s="35" t="inlineStr">
        <is>
          <t>1.9</t>
        </is>
      </c>
      <c r="B27" s="34" t="inlineStr">
        <is>
          <t>Tách "tin nhắn rõ ràng" và "tin nhắn mơ hồ" để đặt kỳ vọng khác nhau (tin mơ hồ thì hỏi lại) là thu hẹp theo trục nào?</t>
        </is>
      </c>
      <c r="C27" s="41" t="inlineStr">
        <is>
          <t>Trục 2</t>
        </is>
      </c>
      <c r="D27" s="39" t="str">
        <f>IF(C27="","",IF(C27="Trục 2","Đúng","Chưa đúng"))</f>
        <v>Đúng</v>
      </c>
      <c r="E27" s="34" t="inlineStr">
        <is>
          <t>23</t>
        </is>
      </c>
    </row>
    <row r="28"/>
    <row r="29" ht="18" customHeight="1" s="27">
      <c r="A29" s="35" t="inlineStr">
        <is>
          <t>Số câu đúng</t>
        </is>
      </c>
      <c r="B29" s="37" t="n"/>
      <c r="C29" s="42" t="n">
        <f>COUNTIF(D19:D27,"Đúng")</f>
        <v>9</v>
      </c>
      <c r="D29" s="34" t="inlineStr">
        <is>
          <t>/ 9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13">
    <mergeCell ref="A4:E4"/>
    <mergeCell ref="A29:B29"/>
    <mergeCell ref="A2:E2"/>
    <mergeCell ref="A16:E16"/>
    <mergeCell ref="A15:E15"/>
    <mergeCell ref="A11:B11"/>
    <mergeCell ref="A10:B10"/>
    <mergeCell ref="A5:E5"/>
    <mergeCell ref="A14:E14"/>
    <mergeCell ref="A9:B9"/>
    <mergeCell ref="A6:E6"/>
    <mergeCell ref="A8:B8"/>
    <mergeCell ref="A12:B12"/>
  </mergeCells>
  <dataValidations count="5">
    <dataValidation sqref="C21" showDropDown="0" showInputMessage="0" showErrorMessage="0" allowBlank="1" type="list" errorStyle="stop" operator="between">
      <formula1>_ds!$A$1:$A$2</formula1>
      <formula2>0</formula2>
    </dataValidation>
    <dataValidation sqref="C24" showDropDown="0" showInputMessage="0" showErrorMessage="0" allowBlank="1" type="list" errorStyle="stop" operator="between">
      <formula1>_ds!$B$1:$B$3</formula1>
      <formula2>0</formula2>
    </dataValidation>
    <dataValidation sqref="C25" showDropDown="0" showInputMessage="0" showErrorMessage="0" allowBlank="1" type="list" errorStyle="stop" operator="between">
      <formula1>_ds!$C$1:$C$3</formula1>
      <formula2>0</formula2>
    </dataValidation>
    <dataValidation sqref="C26" showDropDown="0" showInputMessage="0" showErrorMessage="0" allowBlank="1" type="list" errorStyle="stop" operator="between">
      <formula1>_ds!$B$1:$B$3</formula1>
      <formula2>0</formula2>
    </dataValidation>
    <dataValidation sqref="C27" showDropDown="0" showInputMessage="0" showErrorMessage="0" allowBlank="1" type="list" errorStyle="stop" operator="between">
      <formula1>_ds!$D$1:$D$3</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E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70" customWidth="1" style="26" min="2" max="2"/>
    <col width="22" customWidth="1" style="26" min="3" max="3"/>
    <col width="14" customWidth="1" style="26" min="4" max="4"/>
    <col width="13" customWidth="1" style="26" min="5" max="5"/>
  </cols>
  <sheetData>
    <row r="1" ht="17.35" customHeight="1" s="27">
      <c r="A1" s="28" t="inlineStr">
        <is>
          <t>Bài 2 · Phủ ca và chọn tình huống (12 phút) · sau Phần 02 · trang 24–30</t>
        </is>
      </c>
    </row>
    <row r="2" ht="18" customHeight="1" s="27">
      <c r="A2" s="29" t="inlineStr">
        <is>
          <t>Làm cá nhân, không tính điểm. Điền ô vàng ở cột C; cột D tự báo kết quả.</t>
        </is>
      </c>
    </row>
    <row r="3"/>
    <row r="4" ht="18" customHeight="1" s="27">
      <c r="A4" s="31" t="inlineStr">
        <is>
          <t>Phép thử chiều (trang 26): đổi giá trị của một thuộc tính trong tin nhắn → hành vi đúng của trợ lý có đổi không?</t>
        </is>
      </c>
    </row>
    <row r="5" ht="18" customHeight="1" s="27">
      <c r="A5" s="31" t="inlineStr">
        <is>
          <t>Có đổi → là một chiều của lưới. Không đổi → chỉ là cách diễn đạt, để AI viết lại, không tốn một chiều.</t>
        </is>
      </c>
    </row>
    <row r="6"/>
    <row r="7" ht="33" customHeight="1" s="27">
      <c r="A7" s="31" t="inlineStr">
        <is>
          <t>Câu 2.14: A. Nhờ AI tạo 50 câu kiểm thử là đủ phủ.  ·  B. Người chọn ô cần thử trên lưới; AI chỉ viết thêm cách diễn đạt cho từng ô.  ·  C. Càng nhiều dòng thì bộ đề càng phủ tốt.</t>
        </is>
      </c>
    </row>
    <row r="8"/>
    <row r="9" ht="18" customHeight="1" s="27">
      <c r="A9" s="33" t="inlineStr">
        <is>
          <t>Câu</t>
        </is>
      </c>
      <c r="B9" s="33" t="inlineStr">
        <is>
          <t>Đề</t>
        </is>
      </c>
      <c r="C9" s="33" t="inlineStr">
        <is>
          <t>Trả lời</t>
        </is>
      </c>
      <c r="D9" s="33" t="inlineStr">
        <is>
          <t>Kiểm tra</t>
        </is>
      </c>
      <c r="E9" s="33" t="inlineStr">
        <is>
          <t>Trang</t>
        </is>
      </c>
    </row>
    <row r="10" ht="42" customHeight="1" s="27">
      <c r="A10" s="35" t="inlineStr">
        <is>
          <t>2.1</t>
        </is>
      </c>
      <c r="B10" s="34" t="inlineStr">
        <is>
          <t>Khách viết có dấu hay không dấu. Đây có phải một chiều?  (chọn: Có / Không)</t>
        </is>
      </c>
      <c r="C10" s="41" t="inlineStr">
        <is>
          <t>Không</t>
        </is>
      </c>
      <c r="D10" s="39" t="str">
        <f>IF(C10="","",IF(C10="Không","Đúng","Chưa đúng"))</f>
        <v>Đúng</v>
      </c>
      <c r="E10" s="34" t="inlineStr">
        <is>
          <t>26</t>
        </is>
      </c>
    </row>
    <row r="11" ht="42" customHeight="1" s="27">
      <c r="A11" s="35" t="inlineStr">
        <is>
          <t>2.2</t>
        </is>
      </c>
      <c r="B11" s="34" t="inlineStr">
        <is>
          <t>Tin nhắn có mã đơn hay không có mã đơn. Đây có phải một chiều?  (chọn: Có / Không)</t>
        </is>
      </c>
      <c r="C11" s="41" t="inlineStr">
        <is>
          <t>Có</t>
        </is>
      </c>
      <c r="D11" s="39" t="str">
        <f>IF(C11="","",IF(C11="Có","Đúng","Chưa đúng"))</f>
        <v>Đúng</v>
      </c>
      <c r="E11" s="34" t="inlineStr">
        <is>
          <t>26</t>
        </is>
      </c>
    </row>
    <row r="12" ht="42" customHeight="1" s="27">
      <c r="A12" s="35" t="inlineStr">
        <is>
          <t>2.3</t>
        </is>
      </c>
      <c r="B12" s="34" t="inlineStr">
        <is>
          <t>Khách nói lịch sự hay cộc lốc. Đây có phải một chiều?  (chọn: Có / Không)</t>
        </is>
      </c>
      <c r="C12" s="41" t="inlineStr">
        <is>
          <t>Không</t>
        </is>
      </c>
      <c r="D12" s="39" t="str">
        <f>IF(C12="","",IF(C12="Không","Đúng","Chưa đúng"))</f>
        <v>Đúng</v>
      </c>
      <c r="E12" s="34" t="inlineStr">
        <is>
          <t>26</t>
        </is>
      </c>
    </row>
    <row r="13" ht="42" customHeight="1" s="27">
      <c r="A13" s="35" t="inlineStr">
        <is>
          <t>2.4</t>
        </is>
      </c>
      <c r="B13" s="34" t="inlineStr">
        <is>
          <t>Đơn còn trong 7 ngày, đã quá 7 ngày, hay là hàng lỗi trong 30 ngày. Đây có phải một chiều?  (chọn: Có / Không)</t>
        </is>
      </c>
      <c r="C13" s="41" t="inlineStr">
        <is>
          <t>Có</t>
        </is>
      </c>
      <c r="D13" s="39" t="str">
        <f>IF(C13="","",IF(C13="Có","Đúng","Chưa đúng"))</f>
        <v>Đúng</v>
      </c>
      <c r="E13" s="34" t="inlineStr">
        <is>
          <t>26</t>
        </is>
      </c>
    </row>
    <row r="14" ht="42" customHeight="1" s="27">
      <c r="A14" s="35" t="inlineStr">
        <is>
          <t>2.5</t>
        </is>
      </c>
      <c r="B14" s="34" t="inlineStr">
        <is>
          <t>Tin nhắn có 1 ý hay 2 ý (một đơn muốn đổi, một đơn muốn trả). Đây có phải một chiều?  (chọn: Có / Không)</t>
        </is>
      </c>
      <c r="C14" s="41" t="inlineStr">
        <is>
          <t>Có</t>
        </is>
      </c>
      <c r="D14" s="39" t="str">
        <f>IF(C14="","",IF(C14="Có","Đúng","Chưa đúng"))</f>
        <v>Đúng</v>
      </c>
      <c r="E14" s="34" t="inlineStr">
        <is>
          <t>26</t>
        </is>
      </c>
    </row>
    <row r="15" ht="42" customHeight="1" s="27">
      <c r="A15" s="35" t="inlineStr">
        <is>
          <t>2.6</t>
        </is>
      </c>
      <c r="B15" s="34" t="inlineStr">
        <is>
          <t>Tin nhắn dài hay ngắn (cùng nội dung). Đây có phải một chiều?  (chọn: Có / Không)</t>
        </is>
      </c>
      <c r="C15" s="41" t="inlineStr">
        <is>
          <t>Không</t>
        </is>
      </c>
      <c r="D15" s="39" t="str">
        <f>IF(C15="","",IF(C15="Không","Đúng","Chưa đúng"))</f>
        <v>Đúng</v>
      </c>
      <c r="E15" s="34" t="inlineStr">
        <is>
          <t>26</t>
        </is>
      </c>
    </row>
    <row r="16" ht="48" customHeight="1" s="27">
      <c r="A16" s="35" t="inlineStr">
        <is>
          <t>2.7</t>
        </is>
      </c>
      <c r="B16" s="34" t="inlineStr">
        <is>
          <t>Nhóm chọn 3 chiều: Ý định (4 giá trị) × Độ đủ thông tin (3 giá trị: đủ, thiếu mã đơn, mơ hồ) × Tình trạng đơn (3 giá trị: trong hạn, quá hạn, hàng lỗi). Có bao nhiêu tổ hợp?</t>
        </is>
      </c>
      <c r="C16" s="38" t="n">
        <v>36</v>
      </c>
      <c r="D16" s="39" t="str">
        <f>IF(C16="","",IF(ISNUMBER(C16),IF(ABS(C16-36)&lt;=0.01,"Đúng","Chưa đúng"),"Gõ một số"))</f>
        <v>Đúng</v>
      </c>
      <c r="E16" s="34" t="inlineStr">
        <is>
          <t>29</t>
        </is>
      </c>
    </row>
    <row r="17" ht="42" customHeight="1" s="27">
      <c r="A17" s="35" t="inlineStr">
        <is>
          <t>2.8</t>
        </is>
      </c>
      <c r="B17" s="34" t="inlineStr">
        <is>
          <t>Nhóm loại 12 tổ hợp phi lý. Còn lại bao nhiêu tổ hợp?</t>
        </is>
      </c>
      <c r="C17" s="38" t="n">
        <v>24</v>
      </c>
      <c r="D17" s="39" t="str">
        <f>IF(C17="","",IF(ISNUMBER(C17),IF(ABS(C17-24)&lt;=0.01,"Đúng","Chưa đúng"),"Gõ một số"))</f>
        <v>Đúng</v>
      </c>
      <c r="E17" s="34" t="inlineStr">
        <is>
          <t>29</t>
        </is>
      </c>
    </row>
    <row r="18" ht="42" customHeight="1" s="27">
      <c r="A18" s="35" t="inlineStr">
        <is>
          <t>2.9</t>
        </is>
      </c>
      <c r="B18" s="34" t="inlineStr">
        <is>
          <t>Từ 24 tổ hợp, nhóm chọn 16 tình huống đáng thử; mỗi tình huống viết 3 cách diễn đạt. Bộ đề có bao nhiêu đầu vào?</t>
        </is>
      </c>
      <c r="C18" s="38" t="n">
        <v>48</v>
      </c>
      <c r="D18" s="39" t="str">
        <f>IF(C18="","",IF(ISNUMBER(C18),IF(ABS(C18-48)&lt;=0.01,"Đúng","Chưa đúng"),"Gõ một số"))</f>
        <v>Đúng</v>
      </c>
      <c r="E18" s="34" t="inlineStr">
        <is>
          <t>29</t>
        </is>
      </c>
    </row>
    <row r="19" ht="42" customHeight="1" s="27">
      <c r="A19" s="35" t="inlineStr">
        <is>
          <t>2.10</t>
        </is>
      </c>
      <c r="B19" s="34" t="inlineStr">
        <is>
          <t>"Mình nhận áo hôm qua, chật quá, đổi sang size L giúp mình, mã MS-1043." Loại tình huống?  (chọn: Đại diện / Thử thách / Hồi quy nghiêm trọng)</t>
        </is>
      </c>
      <c r="C19" s="41" t="inlineStr">
        <is>
          <t>Đại diện</t>
        </is>
      </c>
      <c r="D19" s="39" t="str">
        <f>IF(C19="","",IF(C19="Đại diện","Đúng","Chưa đúng"))</f>
        <v>Đúng</v>
      </c>
      <c r="E19" s="34" t="inlineStr">
        <is>
          <t>30</t>
        </is>
      </c>
    </row>
    <row r="20" ht="42" customHeight="1" s="27">
      <c r="A20" s="35" t="inlineStr">
        <is>
          <t>2.11</t>
        </is>
      </c>
      <c r="B20" s="34" t="inlineStr">
        <is>
          <t>"Cái đơn hôm bữa ấy, thôi giờ mình không lấy nữa được không?" Loại tình huống?  (chọn: Đại diện / Thử thách / Hồi quy nghiêm trọng)</t>
        </is>
      </c>
      <c r="C20" s="41" t="inlineStr">
        <is>
          <t>Thử thách</t>
        </is>
      </c>
      <c r="D20" s="39" t="str">
        <f>IF(C20="","",IF(C20="Thử thách","Đúng","Chưa đúng"))</f>
        <v>Đúng</v>
      </c>
      <c r="E20" s="34" t="inlineStr">
        <is>
          <t>30</t>
        </is>
      </c>
    </row>
    <row r="21" ht="42" customHeight="1" s="27">
      <c r="A21" s="35" t="inlineStr">
        <is>
          <t>2.12</t>
        </is>
      </c>
      <c r="B21" s="34" t="inlineStr">
        <is>
          <t>"Mình đặt 2 đơn, đơn MS-1050 muốn trả, đơn MS-1051 muốn đổi size." Loại tình huống?  (chọn: Đại diện / Thử thách / Hồi quy nghiêm trọng)</t>
        </is>
      </c>
      <c r="C21" s="41" t="inlineStr">
        <is>
          <t>Thử thách</t>
        </is>
      </c>
      <c r="D21" s="39" t="str">
        <f>IF(C21="","",IF(C21="Thử thách","Đúng","Chưa đúng"))</f>
        <v>Đúng</v>
      </c>
      <c r="E21" s="34" t="inlineStr">
        <is>
          <t>30</t>
        </is>
      </c>
    </row>
    <row r="22" ht="48" customHeight="1" s="27">
      <c r="A22" s="35" t="inlineStr">
        <is>
          <t>2.13</t>
        </is>
      </c>
      <c r="B22" s="34" t="inlineStr">
        <is>
          <t>"Đơn MS-0871 mình nhận 20 ngày rồi, trả lấy tiền được không?" Tuần trước trợ lý từng hứa hoàn tiền cho đúng kiểu tin này. Loại tình huống?  (chọn: Đại diện / Thử thách / Hồi quy nghiêm trọng)</t>
        </is>
      </c>
      <c r="C22" s="41" t="inlineStr">
        <is>
          <t>Hồi quy nghiêm trọng</t>
        </is>
      </c>
      <c r="D22" s="39" t="str">
        <f>IF(C22="","",IF(C22="Hồi quy nghiêm trọng","Đúng","Chưa đúng"))</f>
        <v>Đúng</v>
      </c>
      <c r="E22" s="34" t="inlineStr">
        <is>
          <t>30</t>
        </is>
      </c>
    </row>
    <row r="23" ht="42" customHeight="1" s="27">
      <c r="A23" s="35" t="inlineStr">
        <is>
          <t>2.14</t>
        </is>
      </c>
      <c r="B23" s="34" t="inlineStr">
        <is>
          <t>Câu nào đúng về việc dùng AI tạo ca kiểm thử?</t>
        </is>
      </c>
      <c r="C23" s="41" t="inlineStr">
        <is>
          <t>B</t>
        </is>
      </c>
      <c r="D23" s="39" t="str">
        <f>IF(C23="","",IF(C23="B","Đúng","Chưa đúng"))</f>
        <v>Đúng</v>
      </c>
      <c r="E23" s="34" t="inlineStr">
        <is>
          <t>25</t>
        </is>
      </c>
    </row>
    <row r="24"/>
    <row r="25" ht="18" customHeight="1" s="27">
      <c r="A25" s="35" t="inlineStr">
        <is>
          <t>Số câu đúng</t>
        </is>
      </c>
      <c r="B25" s="37" t="n"/>
      <c r="C25" s="42" t="n">
        <f>COUNTIF(D10:D23,"Đúng")</f>
        <v>14</v>
      </c>
      <c r="D25" s="34" t="inlineStr">
        <is>
          <t>/ 14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5">
    <mergeCell ref="A4:E4"/>
    <mergeCell ref="A2:E2"/>
    <mergeCell ref="A25:B25"/>
    <mergeCell ref="A7:E7"/>
    <mergeCell ref="A5:E5"/>
  </mergeCells>
  <dataValidations count="11">
    <dataValidation sqref="C10" showDropDown="0" showInputMessage="0" showErrorMessage="0" allowBlank="1" type="list" errorStyle="stop" operator="between">
      <formula1>_ds!$A$1:$A$2</formula1>
      <formula2>0</formula2>
    </dataValidation>
    <dataValidation sqref="C11" showDropDown="0" showInputMessage="0" showErrorMessage="0" allowBlank="1" type="list" errorStyle="stop" operator="between">
      <formula1>_ds!$A$1:$A$2</formula1>
      <formula2>0</formula2>
    </dataValidation>
    <dataValidation sqref="C12" showDropDown="0" showInputMessage="0" showErrorMessage="0" allowBlank="1" type="list" errorStyle="stop" operator="between">
      <formula1>_ds!$A$1:$A$2</formula1>
      <formula2>0</formula2>
    </dataValidation>
    <dataValidation sqref="C13" showDropDown="0" showInputMessage="0" showErrorMessage="0" allowBlank="1" type="list" errorStyle="stop" operator="between">
      <formula1>_ds!$A$1:$A$2</formula1>
      <formula2>0</formula2>
    </dataValidation>
    <dataValidation sqref="C14" showDropDown="0" showInputMessage="0" showErrorMessage="0" allowBlank="1" type="list" errorStyle="stop" operator="between">
      <formula1>_ds!$A$1:$A$2</formula1>
      <formula2>0</formula2>
    </dataValidation>
    <dataValidation sqref="C15" showDropDown="0" showInputMessage="0" showErrorMessage="0" allowBlank="1" type="list" errorStyle="stop" operator="between">
      <formula1>_ds!$A$1:$A$2</formula1>
      <formula2>0</formula2>
    </dataValidation>
    <dataValidation sqref="C19" showDropDown="0" showInputMessage="0" showErrorMessage="0" allowBlank="1" type="list" errorStyle="stop" operator="between">
      <formula1>_ds!$E$1:$E$3</formula1>
      <formula2>0</formula2>
    </dataValidation>
    <dataValidation sqref="C20" showDropDown="0" showInputMessage="0" showErrorMessage="0" allowBlank="1" type="list" errorStyle="stop" operator="between">
      <formula1>_ds!$E$1:$E$3</formula1>
      <formula2>0</formula2>
    </dataValidation>
    <dataValidation sqref="C21" showDropDown="0" showInputMessage="0" showErrorMessage="0" allowBlank="1" type="list" errorStyle="stop" operator="between">
      <formula1>_ds!$E$1:$E$3</formula1>
      <formula2>0</formula2>
    </dataValidation>
    <dataValidation sqref="C22" showDropDown="0" showInputMessage="0" showErrorMessage="0" allowBlank="1" type="list" errorStyle="stop" operator="between">
      <formula1>_ds!$E$1:$E$3</formula1>
      <formula2>0</formula2>
    </dataValidation>
    <dataValidation sqref="C23" showDropDown="0" showInputMessage="0" showErrorMessage="0" allowBlank="1" type="list" errorStyle="stop" operator="between">
      <formula1>_ds!$B$1:$B$3</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E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70" customWidth="1" style="26" min="2" max="2"/>
    <col width="22" customWidth="1" style="26" min="3" max="3"/>
    <col width="14" customWidth="1" style="26" min="4" max="4"/>
    <col width="13" customWidth="1" style="26" min="5" max="5"/>
  </cols>
  <sheetData>
    <row r="1" ht="17.35" customHeight="1" s="27">
      <c r="A1" s="28" t="inlineStr">
        <is>
          <t>Bài 3 · Đọc vết thực thi, tìm bước sai đầu tiên (10 phút) · sau Phần 03 · trang 31–36</t>
        </is>
      </c>
    </row>
    <row r="2" ht="18" customHeight="1" s="27">
      <c r="A2" s="29" t="inlineStr">
        <is>
          <t>Làm cá nhân, không tính điểm. Điền ô vàng ở cột C; cột D tự báo kết quả.</t>
        </is>
      </c>
    </row>
    <row r="3"/>
    <row r="4" ht="33" customHeight="1" s="27">
      <c r="A4" s="31" t="inlineStr">
        <is>
          <t>Đọc 4 vết thực thi của trợ lý Mộc. Với mỗi vết: tìm bước sai ĐẦU TIÊN (trang 33: lỗi bắt đầu ở đâu, bước sau chỉ là hệ quả) và gắn 1 mã lỗi gốc (trang 35).</t>
        </is>
      </c>
    </row>
    <row r="5" ht="18" customHeight="1" s="27">
      <c r="A5" s="31" t="inlineStr">
        <is>
          <t>Đối chiếu với chính sách CS-1 đến CS-6 trong hồ sơ tình huống.</t>
        </is>
      </c>
    </row>
    <row r="6"/>
    <row r="7" ht="18" customHeight="1" s="27">
      <c r="A7" s="33" t="inlineStr">
        <is>
          <t>Vết</t>
        </is>
      </c>
      <c r="B7" s="33" t="inlineStr">
        <is>
          <t>Bước · loại · nội dung</t>
        </is>
      </c>
      <c r="C7" s="43" t="n"/>
      <c r="D7" s="43" t="n"/>
      <c r="E7" s="37" t="n"/>
    </row>
    <row r="8" ht="18" customHeight="1" s="27">
      <c r="A8" s="35" t="inlineStr">
        <is>
          <t>T1</t>
        </is>
      </c>
      <c r="B8" s="34" t="inlineStr">
        <is>
          <t>1 · Khách: "Đơn MS-1043 mình nhận hôm qua, áo chật, đổi size L được không?"</t>
        </is>
      </c>
      <c r="C8" s="43" t="n"/>
      <c r="D8" s="43" t="n"/>
      <c r="E8" s="37" t="n"/>
    </row>
    <row r="9" ht="18" customHeight="1" s="27">
      <c r="A9" s="35" t="n"/>
      <c r="B9" s="34" t="inlineStr">
        <is>
          <t>2 · Phân loại ý định: Tra cứu đơn</t>
        </is>
      </c>
      <c r="C9" s="43" t="n"/>
      <c r="D9" s="43" t="n"/>
      <c r="E9" s="37" t="n"/>
    </row>
    <row r="10" ht="18" customHeight="1" s="27">
      <c r="A10" s="35" t="n"/>
      <c r="B10" s="34" t="inlineStr">
        <is>
          <t>3 · Công cụ: tra_cuu_don(MS-1043) → đã giao ngày 13/10</t>
        </is>
      </c>
      <c r="C10" s="43" t="n"/>
      <c r="D10" s="43" t="n"/>
      <c r="E10" s="37" t="n"/>
    </row>
    <row r="11" ht="18" customHeight="1" s="27">
      <c r="A11" s="35" t="n"/>
      <c r="B11" s="34" t="inlineStr">
        <is>
          <t>4 · Trả lời: "Đơn MS-1043 đã giao thành công ngày 13/10. Bạn cần hỗ trợ gì thêm không ạ?"</t>
        </is>
      </c>
      <c r="C11" s="43" t="n"/>
      <c r="D11" s="43" t="n"/>
      <c r="E11" s="37" t="n"/>
    </row>
    <row r="12" ht="18" customHeight="1" s="27">
      <c r="A12" s="35" t="n"/>
      <c r="B12" s="34" t="inlineStr">
        <is>
          <t>5 · Phản hồi: Không thích: "mình hỏi đổi size mà"</t>
        </is>
      </c>
      <c r="C12" s="43" t="n"/>
      <c r="D12" s="43" t="n"/>
      <c r="E12" s="37" t="n"/>
    </row>
    <row r="13" ht="18" customHeight="1" s="27">
      <c r="A13" s="35" t="inlineStr">
        <is>
          <t>T2</t>
        </is>
      </c>
      <c r="B13" s="34" t="inlineStr">
        <is>
          <t>1 · Khách: "Mình muốn trả đôi giày mua tháng trước, hoàn tiền giúp mình." (không có mã đơn)</t>
        </is>
      </c>
      <c r="C13" s="43" t="n"/>
      <c r="D13" s="43" t="n"/>
      <c r="E13" s="37" t="n"/>
    </row>
    <row r="14" ht="18" customHeight="1" s="27">
      <c r="A14" s="35" t="n"/>
      <c r="B14" s="34" t="inlineStr">
        <is>
          <t>2 · Phân loại ý định: Trả hàng</t>
        </is>
      </c>
      <c r="C14" s="43" t="n"/>
      <c r="D14" s="43" t="n"/>
      <c r="E14" s="37" t="n"/>
    </row>
    <row r="15" ht="18" customHeight="1" s="27">
      <c r="A15" s="35" t="n"/>
      <c r="B15" s="34" t="inlineStr">
        <is>
          <t>3 · Công cụ: (không gọi công cụ nào)</t>
        </is>
      </c>
      <c r="C15" s="43" t="n"/>
      <c r="D15" s="43" t="n"/>
      <c r="E15" s="37" t="n"/>
    </row>
    <row r="16" ht="18" customHeight="1" s="27">
      <c r="A16" s="35" t="n"/>
      <c r="B16" s="34" t="inlineStr">
        <is>
          <t>4 · Trả lời: "Dạ shop đã ghi nhận, tiền sẽ về tài khoản bạn trong 3–5 ngày ạ."</t>
        </is>
      </c>
      <c r="C16" s="43" t="n"/>
      <c r="D16" s="43" t="n"/>
      <c r="E16" s="37" t="n"/>
    </row>
    <row r="17" ht="18" customHeight="1" s="27">
      <c r="A17" s="35" t="inlineStr">
        <is>
          <t>T3</t>
        </is>
      </c>
      <c r="B17" s="34" t="inlineStr">
        <is>
          <t>1 · Khách: "Giày mua 20 ngày, đế bong hết rồi. Cho mình gặp người phụ trách." Mã MS-0990</t>
        </is>
      </c>
      <c r="C17" s="43" t="n"/>
      <c r="D17" s="43" t="n"/>
      <c r="E17" s="37" t="n"/>
    </row>
    <row r="18" ht="18" customHeight="1" s="27">
      <c r="A18" s="35" t="n"/>
      <c r="B18" s="34" t="inlineStr">
        <is>
          <t>2 · Phân loại ý định: Trả hàng · dấu hiệu hàng lỗi: có</t>
        </is>
      </c>
      <c r="C18" s="43" t="n"/>
      <c r="D18" s="43" t="n"/>
      <c r="E18" s="37" t="n"/>
    </row>
    <row r="19" ht="18" customHeight="1" s="27">
      <c r="A19" s="35" t="n"/>
      <c r="B19" s="34" t="inlineStr">
        <is>
          <t>3 · Công cụ: tra_cuu_don(MS-0990) → nhận hàng 20 ngày trước</t>
        </is>
      </c>
      <c r="C19" s="43" t="n"/>
      <c r="D19" s="43" t="n"/>
      <c r="E19" s="37" t="n"/>
    </row>
    <row r="20" ht="18" customHeight="1" s="27">
      <c r="A20" s="35" t="n"/>
      <c r="B20" s="34" t="inlineStr">
        <is>
          <t>4 · Trả lời: "Theo chính sách, đơn quá 7 ngày không được đổi trả ạ." (không gọi chuyen_nhan_vien)</t>
        </is>
      </c>
      <c r="C20" s="43" t="n"/>
      <c r="D20" s="43" t="n"/>
      <c r="E20" s="37" t="n"/>
    </row>
    <row r="21" ht="18" customHeight="1" s="27">
      <c r="A21" s="35" t="inlineStr">
        <is>
          <t>T4</t>
        </is>
      </c>
      <c r="B21" s="34" t="inlineStr">
        <is>
          <t>1 · Khách: "Áo chật quá, đổi size M sang L được không? Mã MS-1102."</t>
        </is>
      </c>
      <c r="C21" s="43" t="n"/>
      <c r="D21" s="43" t="n"/>
      <c r="E21" s="37" t="n"/>
    </row>
    <row r="22" ht="18" customHeight="1" s="27">
      <c r="A22" s="35" t="n"/>
      <c r="B22" s="34" t="inlineStr">
        <is>
          <t>2 · Phân loại ý định: Đổi hàng</t>
        </is>
      </c>
      <c r="C22" s="43" t="n"/>
      <c r="D22" s="43" t="n"/>
      <c r="E22" s="37" t="n"/>
    </row>
    <row r="23" ht="18" customHeight="1" s="27">
      <c r="A23" s="35" t="n"/>
      <c r="B23" s="34" t="inlineStr">
        <is>
          <t>3 · Công cụ: tra_cuu_don(MS-1102) → nhận hàng 2 ngày trước</t>
        </is>
      </c>
      <c r="C23" s="43" t="n"/>
      <c r="D23" s="43" t="n"/>
      <c r="E23" s="37" t="n"/>
    </row>
    <row r="24" ht="18" customHeight="1" s="27">
      <c r="A24" s="35" t="n"/>
      <c r="B24" s="34" t="inlineStr">
        <is>
          <t>4 · Trả lời: "Dạ đơn MS-1102 vẫn trong hạn đổi 7 ngày ạ." (kết thúc)</t>
        </is>
      </c>
      <c r="C24" s="43" t="n"/>
      <c r="D24" s="43" t="n"/>
      <c r="E24" s="37" t="n"/>
    </row>
    <row r="25"/>
    <row r="26" ht="33" customHeight="1" s="27">
      <c r="A26" s="31" t="inlineStr">
        <is>
          <t>Câu 3.9: A. Lời trả lời trôi chảy, nghe chắc chắn; chỉ vết thực thi mới cho thấy không có bước tra cứu.  ·  B. Vì khách không phàn nàn gì.  ·  C. Vì câu trả lời quá ngắn.</t>
        </is>
      </c>
    </row>
    <row r="27"/>
    <row r="28" ht="18" customHeight="1" s="27">
      <c r="A28" s="33" t="inlineStr">
        <is>
          <t>Câu</t>
        </is>
      </c>
      <c r="B28" s="33" t="inlineStr">
        <is>
          <t>Đề</t>
        </is>
      </c>
      <c r="C28" s="33" t="inlineStr">
        <is>
          <t>Trả lời</t>
        </is>
      </c>
      <c r="D28" s="33" t="inlineStr">
        <is>
          <t>Kiểm tra</t>
        </is>
      </c>
      <c r="E28" s="33" t="inlineStr">
        <is>
          <t>Trang</t>
        </is>
      </c>
    </row>
    <row r="29" ht="42" customHeight="1" s="27">
      <c r="A29" s="35" t="inlineStr">
        <is>
          <t>3.1</t>
        </is>
      </c>
      <c r="B29" s="34" t="inlineStr">
        <is>
          <t>T1 · Bước sai đầu tiên là bước số mấy?</t>
        </is>
      </c>
      <c r="C29" s="38" t="n">
        <v>2</v>
      </c>
      <c r="D29" s="39" t="str">
        <f>IF(C29="","",IF(ISNUMBER(C29),IF(ABS(C29-2)&lt;=0.01,"Đúng","Chưa đúng"),"Gõ một số"))</f>
        <v>Đúng</v>
      </c>
      <c r="E29" s="34" t="inlineStr">
        <is>
          <t>33</t>
        </is>
      </c>
    </row>
    <row r="30" ht="42" customHeight="1" s="27">
      <c r="A30" s="35" t="inlineStr">
        <is>
          <t>3.2</t>
        </is>
      </c>
      <c r="B30" s="34" t="inlineStr">
        <is>
          <t>T1 · Mã lỗi gốc là gì?  (chọn: wrong_intent / missing_lookup / premature_commit / missing_escalation / no_next_step)</t>
        </is>
      </c>
      <c r="C30" s="41" t="inlineStr">
        <is>
          <t>wrong_intent</t>
        </is>
      </c>
      <c r="D30" s="39" t="str">
        <f>IF(C30="","",IF(C30="wrong_intent","Đúng","Chưa đúng"))</f>
        <v>Đúng</v>
      </c>
      <c r="E30" s="34" t="inlineStr">
        <is>
          <t>35</t>
        </is>
      </c>
    </row>
    <row r="31" ht="42" customHeight="1" s="27">
      <c r="A31" s="35" t="inlineStr">
        <is>
          <t>3.3</t>
        </is>
      </c>
      <c r="B31" s="34" t="inlineStr">
        <is>
          <t>T2 · Bước sai đầu tiên là bước số mấy?</t>
        </is>
      </c>
      <c r="C31" s="38" t="n">
        <v>3</v>
      </c>
      <c r="D31" s="39" t="str">
        <f>IF(C31="","",IF(ISNUMBER(C31),IF(ABS(C31-3)&lt;=0.01,"Đúng","Chưa đúng"),"Gõ một số"))</f>
        <v>Đúng</v>
      </c>
      <c r="E31" s="34" t="inlineStr">
        <is>
          <t>33</t>
        </is>
      </c>
    </row>
    <row r="32" ht="42" customHeight="1" s="27">
      <c r="A32" s="35" t="inlineStr">
        <is>
          <t>3.4</t>
        </is>
      </c>
      <c r="B32" s="34" t="inlineStr">
        <is>
          <t>T2 · Mã lỗi gốc là gì?  (chọn: wrong_intent / missing_lookup / premature_commit / missing_escalation / no_next_step)</t>
        </is>
      </c>
      <c r="C32" s="41" t="inlineStr">
        <is>
          <t>missing_lookup</t>
        </is>
      </c>
      <c r="D32" s="39" t="str">
        <f>IF(C32="","",IF(C32="missing_lookup","Đúng","Chưa đúng"))</f>
        <v>Đúng</v>
      </c>
      <c r="E32" s="34" t="inlineStr">
        <is>
          <t>35</t>
        </is>
      </c>
    </row>
    <row r="33" ht="42" customHeight="1" s="27">
      <c r="A33" s="35" t="inlineStr">
        <is>
          <t>3.5</t>
        </is>
      </c>
      <c r="B33" s="34" t="inlineStr">
        <is>
          <t>T3 · Bước sai đầu tiên là bước số mấy?</t>
        </is>
      </c>
      <c r="C33" s="38" t="n">
        <v>4</v>
      </c>
      <c r="D33" s="39" t="str">
        <f>IF(C33="","",IF(ISNUMBER(C33),IF(ABS(C33-4)&lt;=0.01,"Đúng","Chưa đúng"),"Gõ một số"))</f>
        <v>Đúng</v>
      </c>
      <c r="E33" s="34" t="inlineStr">
        <is>
          <t>33</t>
        </is>
      </c>
    </row>
    <row r="34" ht="42" customHeight="1" s="27">
      <c r="A34" s="35" t="inlineStr">
        <is>
          <t>3.6</t>
        </is>
      </c>
      <c r="B34" s="34" t="inlineStr">
        <is>
          <t>T3 · Mã lỗi gốc là gì?  (chọn: wrong_intent / missing_lookup / premature_commit / missing_escalation / no_next_step)</t>
        </is>
      </c>
      <c r="C34" s="41" t="inlineStr">
        <is>
          <t>missing_escalation</t>
        </is>
      </c>
      <c r="D34" s="39" t="str">
        <f>IF(C34="","",IF(C34="missing_escalation","Đúng","Chưa đúng"))</f>
        <v>Đúng</v>
      </c>
      <c r="E34" s="34" t="inlineStr">
        <is>
          <t>35</t>
        </is>
      </c>
    </row>
    <row r="35" ht="42" customHeight="1" s="27">
      <c r="A35" s="35" t="inlineStr">
        <is>
          <t>3.7</t>
        </is>
      </c>
      <c r="B35" s="34" t="inlineStr">
        <is>
          <t>T4 · Bước sai đầu tiên là bước số mấy?</t>
        </is>
      </c>
      <c r="C35" s="38" t="n">
        <v>4</v>
      </c>
      <c r="D35" s="39" t="str">
        <f>IF(C35="","",IF(ISNUMBER(C35),IF(ABS(C35-4)&lt;=0.01,"Đúng","Chưa đúng"),"Gõ một số"))</f>
        <v>Đúng</v>
      </c>
      <c r="E35" s="34" t="inlineStr">
        <is>
          <t>33</t>
        </is>
      </c>
    </row>
    <row r="36" ht="42" customHeight="1" s="27">
      <c r="A36" s="35" t="inlineStr">
        <is>
          <t>3.8</t>
        </is>
      </c>
      <c r="B36" s="34" t="inlineStr">
        <is>
          <t>T4 · Mã lỗi gốc là gì?  (chọn: wrong_intent / missing_lookup / premature_commit / missing_escalation / no_next_step)</t>
        </is>
      </c>
      <c r="C36" s="41" t="inlineStr">
        <is>
          <t>no_next_step</t>
        </is>
      </c>
      <c r="D36" s="39" t="str">
        <f>IF(C36="","",IF(C36="no_next_step","Đúng","Chưa đúng"))</f>
        <v>Đúng</v>
      </c>
      <c r="E36" s="34" t="inlineStr">
        <is>
          <t>35</t>
        </is>
      </c>
    </row>
    <row r="37" ht="42" customHeight="1" s="27">
      <c r="A37" s="35" t="inlineStr">
        <is>
          <t>3.9</t>
        </is>
      </c>
      <c r="B37" s="34" t="inlineStr">
        <is>
          <t>T2 · Vì sao chỉ đọc lời trợ lý nói thì không thấy lỗi?</t>
        </is>
      </c>
      <c r="C37" s="41" t="inlineStr">
        <is>
          <t>A</t>
        </is>
      </c>
      <c r="D37" s="39" t="str">
        <f>IF(C37="","",IF(C37="A","Đúng","Chưa đúng"))</f>
        <v>Đúng</v>
      </c>
      <c r="E37" s="34" t="inlineStr">
        <is>
          <t>32</t>
        </is>
      </c>
    </row>
    <row r="38"/>
    <row r="39" ht="18" customHeight="1" s="27">
      <c r="A39" s="35" t="inlineStr">
        <is>
          <t>Số câu đúng</t>
        </is>
      </c>
      <c r="B39" s="37" t="n"/>
      <c r="C39" s="42" t="n">
        <f>COUNTIF(D29:D37,"Đúng")</f>
        <v>9</v>
      </c>
      <c r="D39" s="34" t="inlineStr">
        <is>
          <t>/ 9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23">
    <mergeCell ref="B9:E9"/>
    <mergeCell ref="B15:E15"/>
    <mergeCell ref="B24:E24"/>
    <mergeCell ref="B20:E20"/>
    <mergeCell ref="B16:E16"/>
    <mergeCell ref="B7:E7"/>
    <mergeCell ref="B22:E22"/>
    <mergeCell ref="B18:E18"/>
    <mergeCell ref="A26:E26"/>
    <mergeCell ref="A2:E2"/>
    <mergeCell ref="B12:E12"/>
    <mergeCell ref="B21:E21"/>
    <mergeCell ref="A5:E5"/>
    <mergeCell ref="B11:E11"/>
    <mergeCell ref="B14:E14"/>
    <mergeCell ref="B17:E17"/>
    <mergeCell ref="B23:E23"/>
    <mergeCell ref="A4:E4"/>
    <mergeCell ref="B8:E8"/>
    <mergeCell ref="B13:E13"/>
    <mergeCell ref="B19:E19"/>
    <mergeCell ref="B10:E10"/>
    <mergeCell ref="A39:B39"/>
  </mergeCells>
  <dataValidations count="5">
    <dataValidation sqref="C30" showDropDown="0" showInputMessage="0" showErrorMessage="0" allowBlank="1" type="list" errorStyle="stop" operator="between">
      <formula1>_ds!$F$1:$F$5</formula1>
      <formula2>0</formula2>
    </dataValidation>
    <dataValidation sqref="C32" showDropDown="0" showInputMessage="0" showErrorMessage="0" allowBlank="1" type="list" errorStyle="stop" operator="between">
      <formula1>_ds!$F$1:$F$5</formula1>
      <formula2>0</formula2>
    </dataValidation>
    <dataValidation sqref="C34" showDropDown="0" showInputMessage="0" showErrorMessage="0" allowBlank="1" type="list" errorStyle="stop" operator="between">
      <formula1>_ds!$F$1:$F$5</formula1>
      <formula2>0</formula2>
    </dataValidation>
    <dataValidation sqref="C36" showDropDown="0" showInputMessage="0" showErrorMessage="0" allowBlank="1" type="list" errorStyle="stop" operator="between">
      <formula1>_ds!$F$1:$F$5</formula1>
      <formula2>0</formula2>
    </dataValidation>
    <dataValidation sqref="C37" showDropDown="0" showInputMessage="0" showErrorMessage="0" allowBlank="1" type="list" errorStyle="stop" operator="between">
      <formula1>_ds!$B$1:$B$3</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E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70" customWidth="1" style="26" min="2" max="2"/>
    <col width="22" customWidth="1" style="26" min="3" max="3"/>
    <col width="14" customWidth="1" style="26" min="4" max="4"/>
    <col width="13" customWidth="1" style="26" min="5" max="5"/>
  </cols>
  <sheetData>
    <row r="1" ht="17.35" customHeight="1" s="27">
      <c r="A1" s="28" t="inlineStr">
        <is>
          <t>Bài 4 · Chọn cách chấm và ra kết luận (10 phút) · sau Phần 04–05 · trang 37–50</t>
        </is>
      </c>
    </row>
    <row r="2" ht="18" customHeight="1" s="27">
      <c r="A2" s="29" t="inlineStr">
        <is>
          <t>Làm cá nhân, không tính điểm. Điền ô vàng ở cột C; cột D tự báo kết quả.</t>
        </is>
      </c>
    </row>
    <row r="3"/>
    <row r="4" ht="33" customHeight="1" s="27">
      <c r="A4" s="31" t="inlineStr">
        <is>
          <t>Ba câu hỏi trước khi viết bài đánh giá (trang 39). Chọn bộ chấm theo căn cứ kiểm chứng (trang 40–41). Đọc mã kiểm tra nhãn (trang 44). Kết luận "có răng" (trang 50).</t>
        </is>
      </c>
    </row>
    <row r="5" ht="33" customHeight="1" s="27">
      <c r="A5" s="31" t="inlineStr">
        <is>
          <t>Mã kiểm tra nhãn của Mộc: VALID = {"Đổi hàng", "Trả hàng", "Tra cứu đơn", "Cần làm rõ"}; đếm số nhãn hợp lệ xuất hiện trong đầu ra (so khớp đúng từng chữ). Đúng 1 → Đạt; 0 → Không đạt; từ 2 trở lên → Không đạt.</t>
        </is>
      </c>
    </row>
    <row r="6" ht="33" customHeight="1" s="27">
      <c r="A6" s="31" t="inlineStr">
        <is>
          <t>Bảng cho câu 4.14–4.15: bộ đề 50 tin, mọi ngưỡng chốt trước khi chạy. Quy tắc phát hành (trang 50): mọi tiêu chí đạt ngưỡng và không tiêu chí nào tụt quá 2 điểm so với bản cũ.</t>
        </is>
      </c>
    </row>
    <row r="7"/>
    <row r="8" ht="31.5" customHeight="1" s="27">
      <c r="A8" s="33" t="inlineStr">
        <is>
          <t>Tiêu chí</t>
        </is>
      </c>
      <c r="B8" s="37" t="n"/>
      <c r="C8" s="33" t="inlineStr">
        <is>
          <t>Ngưỡng chốt trước</t>
        </is>
      </c>
      <c r="D8" s="33" t="inlineStr">
        <is>
          <t>v1.3</t>
        </is>
      </c>
      <c r="E8" s="33" t="inlineStr">
        <is>
          <t>v1.4</t>
        </is>
      </c>
    </row>
    <row r="9" ht="18" customHeight="1" s="27">
      <c r="A9" s="34" t="inlineStr">
        <is>
          <t>Nhãn ý định đúng</t>
        </is>
      </c>
      <c r="B9" s="37" t="n"/>
      <c r="C9" s="34" t="inlineStr">
        <is>
          <t>≥ 90%</t>
        </is>
      </c>
      <c r="D9" s="34" t="inlineStr">
        <is>
          <t>90%</t>
        </is>
      </c>
      <c r="E9" s="34" t="inlineStr">
        <is>
          <t>96%</t>
        </is>
      </c>
    </row>
    <row r="10" ht="18" customHeight="1" s="27">
      <c r="A10" s="34" t="inlineStr">
        <is>
          <t>Bịa mã đơn</t>
        </is>
      </c>
      <c r="B10" s="37" t="n"/>
      <c r="C10" s="34" t="inlineStr">
        <is>
          <t>0 tin</t>
        </is>
      </c>
      <c r="D10" s="34" t="inlineStr">
        <is>
          <t>0 tin</t>
        </is>
      </c>
      <c r="E10" s="34" t="inlineStr">
        <is>
          <t>0 tin</t>
        </is>
      </c>
    </row>
    <row r="11" ht="18" customHeight="1" s="27">
      <c r="A11" s="34" t="inlineStr">
        <is>
          <t>Thời gian phản hồi (trung vị)</t>
        </is>
      </c>
      <c r="B11" s="37" t="n"/>
      <c r="C11" s="34" t="inlineStr">
        <is>
          <t>&lt; 2 giây</t>
        </is>
      </c>
      <c r="D11" s="34" t="inlineStr">
        <is>
          <t>1,4 giây</t>
        </is>
      </c>
      <c r="E11" s="34" t="inlineStr">
        <is>
          <t>1,6 giây</t>
        </is>
      </c>
    </row>
    <row r="12" ht="18" customHeight="1" s="27">
      <c r="A12" s="34" t="inlineStr">
        <is>
          <t>Ghi nhận cảm xúc khách</t>
        </is>
      </c>
      <c r="B12" s="37" t="n"/>
      <c r="C12" s="34" t="inlineStr">
        <is>
          <t>không tụt quá 2 điểm</t>
        </is>
      </c>
      <c r="D12" s="34" t="inlineStr">
        <is>
          <t>84%</t>
        </is>
      </c>
      <c r="E12" s="34" t="inlineStr">
        <is>
          <t>76%</t>
        </is>
      </c>
    </row>
    <row r="13"/>
    <row r="14" ht="33" customHeight="1" s="27">
      <c r="A14" s="31" t="inlineStr">
        <is>
          <t>Câu 4.13: A. Kết luận trợ lý hỏng, quay về bản cũ.  ·  B. Kiểm tra lại chính bài đánh giá: mẫu so khớp, tên trường dữ liệu.  ·  C. Hạ ngưỡng để có kết quả.</t>
        </is>
      </c>
    </row>
    <row r="15"/>
    <row r="16" ht="18" customHeight="1" s="27">
      <c r="A16" s="33" t="inlineStr">
        <is>
          <t>Câu</t>
        </is>
      </c>
      <c r="B16" s="33" t="inlineStr">
        <is>
          <t>Đề</t>
        </is>
      </c>
      <c r="C16" s="33" t="inlineStr">
        <is>
          <t>Trả lời</t>
        </is>
      </c>
      <c r="D16" s="33" t="inlineStr">
        <is>
          <t>Kiểm tra</t>
        </is>
      </c>
      <c r="E16" s="33" t="inlineStr">
        <is>
          <t>Trang</t>
        </is>
      </c>
    </row>
    <row r="17" ht="48" customHeight="1" s="27">
      <c r="A17" s="35" t="inlineStr">
        <is>
          <t>4.1</t>
        </is>
      </c>
      <c r="B17" s="34" t="inlineStr">
        <is>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is>
      </c>
      <c r="C17" s="41" t="inlineStr">
        <is>
          <t>Thiếu đặc tả → sửa câu lệnh</t>
        </is>
      </c>
      <c r="D17" s="39" t="str">
        <f>IF(C17="","",IF(C17="Thiếu đặc tả → sửa câu lệnh","Đúng","Chưa đúng"))</f>
        <v>Đúng</v>
      </c>
      <c r="E17" s="34" t="inlineStr">
        <is>
          <t>39</t>
        </is>
      </c>
    </row>
    <row r="18" ht="48" customHeight="1" s="27">
      <c r="A18" s="35" t="inlineStr">
        <is>
          <t>4.2</t>
        </is>
      </c>
      <c r="B18" s="34" t="inlineStr">
        <is>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is>
      </c>
      <c r="C18" s="41" t="inlineStr">
        <is>
          <t>Thiếu năng lực hệ thống → sửa kỹ thuật</t>
        </is>
      </c>
      <c r="D18" s="39" t="str">
        <f>IF(C18="","",IF(C18="Thiếu năng lực hệ thống → sửa kỹ thuật","Đúng","Chưa đúng"))</f>
        <v>Đúng</v>
      </c>
      <c r="E18" s="34" t="inlineStr">
        <is>
          <t>39</t>
        </is>
      </c>
    </row>
    <row r="19" ht="63" customHeight="1" s="27">
      <c r="A19" s="35" t="inlineStr">
        <is>
          <t>4.3</t>
        </is>
      </c>
      <c r="B19" s="34" t="inlineStr">
        <is>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is>
      </c>
      <c r="C19" s="44" t="inlineStr">
        <is>
          <t>Lúc được lúc không → viết bài đánh giá tự động</t>
        </is>
      </c>
      <c r="D19" s="39" t="str">
        <f>IF(C19="","",IF(C19="Lúc được lúc không → viết bài đánh giá tự động","Đúng","Chưa đúng"))</f>
        <v>Đúng</v>
      </c>
      <c r="E19" s="34" t="inlineStr">
        <is>
          <t>39</t>
        </is>
      </c>
    </row>
    <row r="20" ht="42" customHeight="1" s="27">
      <c r="A20" s="35" t="inlineStr">
        <is>
          <t>4.4</t>
        </is>
      </c>
      <c r="B20" s="34" t="inlineStr">
        <is>
          <t>Tiêu chí: nhãn ý định là đúng 1 trong 4 nhãn cho phép. Bộ chấm?  (chọn: Mã lệnh / Giám khảo AI / Người quyết)</t>
        </is>
      </c>
      <c r="C20" s="41" t="inlineStr">
        <is>
          <t>Mã lệnh</t>
        </is>
      </c>
      <c r="D20" s="39" t="str">
        <f>IF(C20="","",IF(C20="Mã lệnh","Đúng","Chưa đúng"))</f>
        <v>Đúng</v>
      </c>
      <c r="E20" s="34" t="inlineStr">
        <is>
          <t>40</t>
        </is>
      </c>
    </row>
    <row r="21" ht="42" customHeight="1" s="27">
      <c r="A21" s="35" t="inlineStr">
        <is>
          <t>4.5</t>
        </is>
      </c>
      <c r="B21" s="34" t="inlineStr">
        <is>
          <t>Tiêu chí: mã đơn trong câu trả lời trùng mã khách đưa (không bịa mã). Bộ chấm?  (chọn: Mã lệnh / Giám khảo AI / Người quyết)</t>
        </is>
      </c>
      <c r="C21" s="41" t="inlineStr">
        <is>
          <t>Mã lệnh</t>
        </is>
      </c>
      <c r="D21" s="39" t="str">
        <f>IF(C21="","",IF(C21="Mã lệnh","Đúng","Chưa đúng"))</f>
        <v>Đúng</v>
      </c>
      <c r="E21" s="34" t="inlineStr">
        <is>
          <t>46</t>
        </is>
      </c>
    </row>
    <row r="22" ht="42" customHeight="1" s="27">
      <c r="A22" s="35" t="inlineStr">
        <is>
          <t>4.6</t>
        </is>
      </c>
      <c r="B22" s="34" t="inlineStr">
        <is>
          <t>Tiêu chí: có gọi tra_cuu_don trước khi xác nhận đổi trả. Bộ chấm?  (chọn: Mã lệnh / Giám khảo AI / Người quyết)</t>
        </is>
      </c>
      <c r="C22" s="41" t="inlineStr">
        <is>
          <t>Mã lệnh</t>
        </is>
      </c>
      <c r="D22" s="39" t="str">
        <f>IF(C22="","",IF(C22="Mã lệnh","Đúng","Chưa đúng"))</f>
        <v>Đúng</v>
      </c>
      <c r="E22" s="34" t="inlineStr">
        <is>
          <t>45</t>
        </is>
      </c>
    </row>
    <row r="23" ht="42" customHeight="1" s="27">
      <c r="A23" s="35" t="inlineStr">
        <is>
          <t>4.7</t>
        </is>
      </c>
      <c r="B23" s="34" t="inlineStr">
        <is>
          <t>Tiêu chí: thời gian phản hồi dưới 2 giây. Bộ chấm?  (chọn: Mã lệnh / Giám khảo AI / Người quyết)</t>
        </is>
      </c>
      <c r="C23" s="41" t="inlineStr">
        <is>
          <t>Mã lệnh</t>
        </is>
      </c>
      <c r="D23" s="39" t="str">
        <f>IF(C23="","",IF(C23="Mã lệnh","Đúng","Chưa đúng"))</f>
        <v>Đúng</v>
      </c>
      <c r="E23" s="34" t="inlineStr">
        <is>
          <t>45</t>
        </is>
      </c>
    </row>
    <row r="24" ht="42" customHeight="1" s="27">
      <c r="A24" s="35" t="inlineStr">
        <is>
          <t>4.8</t>
        </is>
      </c>
      <c r="B24" s="34" t="inlineStr">
        <is>
          <t>Tiêu chí: ghi nhận cảm xúc của khách trước khi xử lý. Bộ chấm?  (chọn: Mã lệnh / Giám khảo AI / Người quyết)</t>
        </is>
      </c>
      <c r="C24" s="41" t="inlineStr">
        <is>
          <t>Giám khảo AI</t>
        </is>
      </c>
      <c r="D24" s="39" t="str">
        <f>IF(C24="","",IF(C24="Giám khảo AI","Đúng","Chưa đúng"))</f>
        <v>Đúng</v>
      </c>
      <c r="E24" s="34" t="inlineStr">
        <is>
          <t>40</t>
        </is>
      </c>
    </row>
    <row r="25" ht="42" customHeight="1" s="27">
      <c r="A25" s="35" t="inlineStr">
        <is>
          <t>4.9</t>
        </is>
      </c>
      <c r="B25" s="34" t="inlineStr">
        <is>
          <t>Tiêu chí: đề xuất mức đền bù cho hàng lỗi có hợp lý với từng khách không. Bộ chấm?  (chọn: Mã lệnh / Giám khảo AI / Người quyết)</t>
        </is>
      </c>
      <c r="C25" s="41" t="inlineStr">
        <is>
          <t>Người quyết</t>
        </is>
      </c>
      <c r="D25" s="39" t="str">
        <f>IF(C25="","",IF(C25="Người quyết","Đúng","Chưa đúng"))</f>
        <v>Đúng</v>
      </c>
      <c r="E25" s="34" t="inlineStr">
        <is>
          <t>41</t>
        </is>
      </c>
    </row>
    <row r="26" ht="42" customHeight="1" s="27">
      <c r="A26" s="35" t="inlineStr">
        <is>
          <t>4.10</t>
        </is>
      </c>
      <c r="B26" s="34" t="inlineStr">
        <is>
          <t>Đầu ra: "Ý định: Đổi hàng". Mã kiểm tra trả về?  (chọn: Đạt · đúng 1 nhãn / Không đạt · không có nhãn hợp lệ / Không đạt · nhiều hơn 1 nhãn)</t>
        </is>
      </c>
      <c r="C26" s="41" t="inlineStr">
        <is>
          <t>Đạt · đúng 1 nhãn</t>
        </is>
      </c>
      <c r="D26" s="39" t="str">
        <f>IF(C26="","",IF(C26="Đạt · đúng 1 nhãn","Đúng","Chưa đúng"))</f>
        <v>Đúng</v>
      </c>
      <c r="E26" s="34" t="inlineStr">
        <is>
          <t>44</t>
        </is>
      </c>
    </row>
    <row r="27" ht="42" customHeight="1" s="27">
      <c r="A27" s="35" t="inlineStr">
        <is>
          <t>4.11</t>
        </is>
      </c>
      <c r="B27" s="34" t="inlineStr">
        <is>
          <t>Đầu ra: "Ý định: đổi size". Mã kiểm tra trả về?  (chọn: Đạt · đúng 1 nhãn / Không đạt · không có nhãn hợp lệ / Không đạt · nhiều hơn 1 nhãn)</t>
        </is>
      </c>
      <c r="C27" s="41" t="inlineStr">
        <is>
          <t>Không đạt · không có nhãn hợp lệ</t>
        </is>
      </c>
      <c r="D27" s="39" t="str">
        <f>IF(C27="","",IF(C27="Không đạt · không có nhãn hợp lệ","Đúng","Chưa đúng"))</f>
        <v>Đúng</v>
      </c>
      <c r="E27" s="34" t="inlineStr">
        <is>
          <t>44</t>
        </is>
      </c>
    </row>
    <row r="28" ht="42" customHeight="1" s="27">
      <c r="A28" s="35" t="inlineStr">
        <is>
          <t>4.12</t>
        </is>
      </c>
      <c r="B28" s="34" t="inlineStr">
        <is>
          <t>Đầu ra: "Ý định: Đổi hàng; Trả hàng". Mã kiểm tra trả về?  (chọn: Đạt · đúng 1 nhãn / Không đạt · không có nhãn hợp lệ / Không đạt · nhiều hơn 1 nhãn)</t>
        </is>
      </c>
      <c r="C28" s="41" t="inlineStr">
        <is>
          <t>Không đạt · nhiều hơn 1 nhãn</t>
        </is>
      </c>
      <c r="D28" s="39" t="str">
        <f>IF(C28="","",IF(C28="Không đạt · nhiều hơn 1 nhãn","Đúng","Chưa đúng"))</f>
        <v>Đúng</v>
      </c>
      <c r="E28" s="34" t="inlineStr">
        <is>
          <t>44</t>
        </is>
      </c>
    </row>
    <row r="29" ht="42" customHeight="1" s="27">
      <c r="A29" s="35" t="inlineStr">
        <is>
          <t>4.13</t>
        </is>
      </c>
      <c r="B29" s="34" t="inlineStr">
        <is>
          <t>Một bài đánh giá mới chạy ra tỷ lệ đạt 0% trên cả 50 tin. Việc đầu tiên nên làm?</t>
        </is>
      </c>
      <c r="C29" s="41" t="inlineStr">
        <is>
          <t>B</t>
        </is>
      </c>
      <c r="D29" s="39" t="str">
        <f>IF(C29="","",IF(C29="B","Đúng","Chưa đúng"))</f>
        <v>Đúng</v>
      </c>
      <c r="E29" s="34" t="inlineStr">
        <is>
          <t>47</t>
        </is>
      </c>
    </row>
    <row r="30" ht="42" customHeight="1" s="27">
      <c r="A30" s="35" t="inlineStr">
        <is>
          <t>4.14</t>
        </is>
      </c>
      <c r="B30" s="34" t="inlineStr">
        <is>
          <t>Đọc bảng v1.3 / v1.4. Kết luận nào đúng?  (chọn: Phát hành / Lặp tiếp / Quay về bản cũ)</t>
        </is>
      </c>
      <c r="C30" s="41" t="inlineStr">
        <is>
          <t>Lặp tiếp</t>
        </is>
      </c>
      <c r="D30" s="39" t="str">
        <f>IF(C30="","",IF(C30="Lặp tiếp","Đúng","Chưa đúng"))</f>
        <v>Đúng</v>
      </c>
      <c r="E30" s="34" t="inlineStr">
        <is>
          <t>50</t>
        </is>
      </c>
    </row>
    <row r="31" ht="42" customHeight="1" s="27">
      <c r="A31" s="35" t="inlineStr">
        <is>
          <t>4.15</t>
        </is>
      </c>
      <c r="B31" s="34" t="inlineStr">
        <is>
          <t>Khi Lặp tiếp, đòn nào làm trước?  (chọn: Sửa câu lệnh / Đổi mô hình / Đổi kiến trúc)</t>
        </is>
      </c>
      <c r="C31" s="41" t="inlineStr">
        <is>
          <t>Sửa câu lệnh</t>
        </is>
      </c>
      <c r="D31" s="39" t="str">
        <f>IF(C31="","",IF(C31="Sửa câu lệnh","Đúng","Chưa đúng"))</f>
        <v>Đúng</v>
      </c>
      <c r="E31" s="34" t="inlineStr">
        <is>
          <t>50</t>
        </is>
      </c>
    </row>
    <row r="32"/>
    <row r="33" ht="18" customHeight="1" s="27">
      <c r="A33" s="35" t="inlineStr">
        <is>
          <t>Số câu đúng</t>
        </is>
      </c>
      <c r="B33" s="37" t="n"/>
      <c r="C33" s="42" t="n">
        <f>COUNTIF(D17:D31,"Đúng")</f>
        <v>15</v>
      </c>
      <c r="D33" s="34" t="inlineStr">
        <is>
          <t>/ 15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11">
    <mergeCell ref="A4:E4"/>
    <mergeCell ref="A2:E2"/>
    <mergeCell ref="A33:B33"/>
    <mergeCell ref="A11:B11"/>
    <mergeCell ref="A10:B10"/>
    <mergeCell ref="A5:E5"/>
    <mergeCell ref="A14:E14"/>
    <mergeCell ref="A9:B9"/>
    <mergeCell ref="A6:E6"/>
    <mergeCell ref="A8:B8"/>
    <mergeCell ref="A12:B12"/>
  </mergeCells>
  <dataValidations count="15">
    <dataValidation sqref="C17" showDropDown="0" showInputMessage="0" showErrorMessage="0" allowBlank="1" type="list" errorStyle="stop" operator="between">
      <formula1>_ds!$G$1:$G$3</formula1>
      <formula2>0</formula2>
    </dataValidation>
    <dataValidation sqref="C18" showDropDown="0" showInputMessage="0" showErrorMessage="0" allowBlank="1" type="list" errorStyle="stop" operator="between">
      <formula1>_ds!$G$1:$G$3</formula1>
      <formula2>0</formula2>
    </dataValidation>
    <dataValidation sqref="C19" showDropDown="0" showInputMessage="0" showErrorMessage="0" allowBlank="1" type="list" errorStyle="stop" operator="between">
      <formula1>_ds!$G$1:$G$3</formula1>
      <formula2>0</formula2>
    </dataValidation>
    <dataValidation sqref="C20" showDropDown="0" showInputMessage="0" showErrorMessage="0" allowBlank="1" type="list" errorStyle="stop" operator="between">
      <formula1>_ds!$H$1:$H$3</formula1>
      <formula2>0</formula2>
    </dataValidation>
    <dataValidation sqref="C21" showDropDown="0" showInputMessage="0" showErrorMessage="0" allowBlank="1" type="list" errorStyle="stop" operator="between">
      <formula1>_ds!$H$1:$H$3</formula1>
      <formula2>0</formula2>
    </dataValidation>
    <dataValidation sqref="C22" showDropDown="0" showInputMessage="0" showErrorMessage="0" allowBlank="1" type="list" errorStyle="stop" operator="between">
      <formula1>_ds!$H$1:$H$3</formula1>
      <formula2>0</formula2>
    </dataValidation>
    <dataValidation sqref="C23" showDropDown="0" showInputMessage="0" showErrorMessage="0" allowBlank="1" type="list" errorStyle="stop" operator="between">
      <formula1>_ds!$H$1:$H$3</formula1>
      <formula2>0</formula2>
    </dataValidation>
    <dataValidation sqref="C24" showDropDown="0" showInputMessage="0" showErrorMessage="0" allowBlank="1" type="list" errorStyle="stop" operator="between">
      <formula1>_ds!$H$1:$H$3</formula1>
      <formula2>0</formula2>
    </dataValidation>
    <dataValidation sqref="C25" showDropDown="0" showInputMessage="0" showErrorMessage="0" allowBlank="1" type="list" errorStyle="stop" operator="between">
      <formula1>_ds!$H$1:$H$3</formula1>
      <formula2>0</formula2>
    </dataValidation>
    <dataValidation sqref="C26" showDropDown="0" showInputMessage="0" showErrorMessage="0" allowBlank="1" type="list" errorStyle="stop" operator="between">
      <formula1>_ds!$I$1:$I$3</formula1>
      <formula2>0</formula2>
    </dataValidation>
    <dataValidation sqref="C27" showDropDown="0" showInputMessage="0" showErrorMessage="0" allowBlank="1" type="list" errorStyle="stop" operator="between">
      <formula1>_ds!$I$1:$I$3</formula1>
      <formula2>0</formula2>
    </dataValidation>
    <dataValidation sqref="C28" showDropDown="0" showInputMessage="0" showErrorMessage="0" allowBlank="1" type="list" errorStyle="stop" operator="between">
      <formula1>_ds!$I$1:$I$3</formula1>
      <formula2>0</formula2>
    </dataValidation>
    <dataValidation sqref="C29" showDropDown="0" showInputMessage="0" showErrorMessage="0" allowBlank="1" type="list" errorStyle="stop" operator="between">
      <formula1>_ds!$B$1:$B$3</formula1>
      <formula2>0</formula2>
    </dataValidation>
    <dataValidation sqref="C30" showDropDown="0" showInputMessage="0" showErrorMessage="0" allowBlank="1" type="list" errorStyle="stop" operator="between">
      <formula1>_ds!$J$1:$J$3</formula1>
      <formula2>0</formula2>
    </dataValidation>
    <dataValidation sqref="C31" showDropDown="0" showInputMessage="0" showErrorMessage="0" allowBlank="1" type="list" errorStyle="stop" operator="between">
      <formula1>_ds!$K$1:$K$3</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70" customWidth="1" style="26" min="2" max="2"/>
    <col width="22" customWidth="1" style="26" min="3" max="3"/>
    <col width="14" customWidth="1" style="26" min="4" max="4"/>
    <col width="13" customWidth="1" style="26" min="5" max="5"/>
  </cols>
  <sheetData>
    <row r="1" ht="17.35" customHeight="1" s="27">
      <c r="A1" s="28" t="inlineStr">
        <is>
          <t>Bài 5 · Hiệu chỉnh giám khảo AI (10 phút) · sau Phần 06 · trang 51–59</t>
        </is>
      </c>
    </row>
    <row r="2" ht="18" customHeight="1" s="27">
      <c r="A2" s="29" t="inlineStr">
        <is>
          <t>Làm cá nhân, không tính điểm. Điền ô vàng ở cột C; cột D tự báo kết quả.</t>
        </is>
      </c>
    </row>
    <row r="3"/>
    <row r="4" ht="18" customHeight="1" s="27">
      <c r="A4" s="31" t="inlineStr">
        <is>
          <t>Tiêu chí: "Đạt = ghi nhận cảm xúc của khách TRƯỚC khi xử lý. Nhắc lại sự việc chưa phải là ghi nhận cảm xúc."</t>
        </is>
      </c>
    </row>
    <row r="5" ht="18" customHeight="1" s="27">
      <c r="A5" s="31" t="inlineStr">
        <is>
          <t>Chị Ngân (chuyên gia) và giám khảo AI cùng chấm 12 tin. Đ = Đạt, K = Không đạt. Ngưỡng đủ tin chốt trước: TPR và TNR đều từ 85% trở lên.</t>
        </is>
      </c>
    </row>
    <row r="6" ht="33" customHeight="1" s="27">
      <c r="A6" s="31" t="inlineStr">
        <is>
          <t>TPR = số tin cả hai cùng Đạt ÷ số tin chuyên gia chấm Đạt. TNR = số tin cả hai cùng Không đạt ÷ số tin chuyên gia chấm Không đạt (trang 53).</t>
        </is>
      </c>
    </row>
    <row r="7"/>
    <row r="8" ht="18" customHeight="1" s="27">
      <c r="A8" s="33" t="inlineStr">
        <is>
          <t>Tin</t>
        </is>
      </c>
      <c r="B8" s="33" t="inlineStr">
        <is>
          <t>Chuyên gia (chị Ngân)</t>
        </is>
      </c>
      <c r="C8" s="33" t="inlineStr">
        <is>
          <t>Giám khảo AI</t>
        </is>
      </c>
    </row>
    <row r="9" ht="18" customHeight="1" s="27">
      <c r="A9" s="34" t="inlineStr">
        <is>
          <t>1</t>
        </is>
      </c>
      <c r="B9" s="34" t="inlineStr">
        <is>
          <t>Đ</t>
        </is>
      </c>
      <c r="C9" s="34" t="inlineStr">
        <is>
          <t>Đ</t>
        </is>
      </c>
    </row>
    <row r="10" ht="18" customHeight="1" s="27">
      <c r="A10" s="34" t="inlineStr">
        <is>
          <t>2</t>
        </is>
      </c>
      <c r="B10" s="34" t="inlineStr">
        <is>
          <t>Đ</t>
        </is>
      </c>
      <c r="C10" s="34" t="inlineStr">
        <is>
          <t>Đ</t>
        </is>
      </c>
    </row>
    <row r="11" ht="18" customHeight="1" s="27">
      <c r="A11" s="34" t="inlineStr">
        <is>
          <t>3</t>
        </is>
      </c>
      <c r="B11" s="34" t="inlineStr">
        <is>
          <t>K</t>
        </is>
      </c>
      <c r="C11" s="34" t="inlineStr">
        <is>
          <t>Đ</t>
        </is>
      </c>
    </row>
    <row r="12" ht="18" customHeight="1" s="27">
      <c r="A12" s="34" t="inlineStr">
        <is>
          <t>4</t>
        </is>
      </c>
      <c r="B12" s="34" t="inlineStr">
        <is>
          <t>Đ</t>
        </is>
      </c>
      <c r="C12" s="34" t="inlineStr">
        <is>
          <t>Đ</t>
        </is>
      </c>
    </row>
    <row r="13" ht="18" customHeight="1" s="27">
      <c r="A13" s="34" t="inlineStr">
        <is>
          <t>5</t>
        </is>
      </c>
      <c r="B13" s="34" t="inlineStr">
        <is>
          <t>Đ</t>
        </is>
      </c>
      <c r="C13" s="34" t="inlineStr">
        <is>
          <t>K</t>
        </is>
      </c>
    </row>
    <row r="14" ht="18" customHeight="1" s="27">
      <c r="A14" s="34" t="inlineStr">
        <is>
          <t>6</t>
        </is>
      </c>
      <c r="B14" s="34" t="inlineStr">
        <is>
          <t>K</t>
        </is>
      </c>
      <c r="C14" s="34" t="inlineStr">
        <is>
          <t>K</t>
        </is>
      </c>
    </row>
    <row r="15" ht="18" customHeight="1" s="27">
      <c r="A15" s="34" t="inlineStr">
        <is>
          <t>7</t>
        </is>
      </c>
      <c r="B15" s="34" t="inlineStr">
        <is>
          <t>Đ</t>
        </is>
      </c>
      <c r="C15" s="34" t="inlineStr">
        <is>
          <t>Đ</t>
        </is>
      </c>
    </row>
    <row r="16" ht="18" customHeight="1" s="27">
      <c r="A16" s="34" t="inlineStr">
        <is>
          <t>8</t>
        </is>
      </c>
      <c r="B16" s="34" t="inlineStr">
        <is>
          <t>K</t>
        </is>
      </c>
      <c r="C16" s="34" t="inlineStr">
        <is>
          <t>Đ</t>
        </is>
      </c>
    </row>
    <row r="17" ht="18" customHeight="1" s="27">
      <c r="A17" s="34" t="inlineStr">
        <is>
          <t>9</t>
        </is>
      </c>
      <c r="B17" s="34" t="inlineStr">
        <is>
          <t>Đ</t>
        </is>
      </c>
      <c r="C17" s="34" t="inlineStr">
        <is>
          <t>Đ</t>
        </is>
      </c>
    </row>
    <row r="18" ht="18" customHeight="1" s="27">
      <c r="A18" s="34" t="inlineStr">
        <is>
          <t>10</t>
        </is>
      </c>
      <c r="B18" s="34" t="inlineStr">
        <is>
          <t>K</t>
        </is>
      </c>
      <c r="C18" s="34" t="inlineStr">
        <is>
          <t>K</t>
        </is>
      </c>
    </row>
    <row r="19" ht="18" customHeight="1" s="27">
      <c r="A19" s="34" t="inlineStr">
        <is>
          <t>11</t>
        </is>
      </c>
      <c r="B19" s="34" t="inlineStr">
        <is>
          <t>Đ</t>
        </is>
      </c>
      <c r="C19" s="34" t="inlineStr">
        <is>
          <t>Đ</t>
        </is>
      </c>
    </row>
    <row r="20" ht="18" customHeight="1" s="27">
      <c r="A20" s="34" t="inlineStr">
        <is>
          <t>12</t>
        </is>
      </c>
      <c r="B20" s="34" t="inlineStr">
        <is>
          <t>Đ</t>
        </is>
      </c>
      <c r="C20" s="34" t="inlineStr">
        <is>
          <t>Đ</t>
        </is>
      </c>
    </row>
    <row r="21"/>
    <row r="22" ht="33" customHeight="1" s="27">
      <c r="A22" s="31" t="inlineStr">
        <is>
          <t>Câu 5.10: A. Đạt ngưỡng, đưa giám khảo vào dùng.  ·  B. Chưa đạt vì TNR thấp: siết định nghĩa Không đạt, thêm 3–4 ví dụ trượt sát ranh, chấm lại.  ·  C. Chưa đạt vì TPR thấp: thêm ví dụ Đạt sát ranh.</t>
        </is>
      </c>
    </row>
    <row r="23"/>
    <row r="24" ht="18" customHeight="1" s="27">
      <c r="A24" s="33" t="inlineStr">
        <is>
          <t>Câu</t>
        </is>
      </c>
      <c r="B24" s="33" t="inlineStr">
        <is>
          <t>Đề</t>
        </is>
      </c>
      <c r="C24" s="33" t="inlineStr">
        <is>
          <t>Trả lời</t>
        </is>
      </c>
      <c r="D24" s="33" t="inlineStr">
        <is>
          <t>Kiểm tra</t>
        </is>
      </c>
      <c r="E24" s="33" t="inlineStr">
        <is>
          <t>Trang</t>
        </is>
      </c>
    </row>
    <row r="25" ht="42" customHeight="1" s="27">
      <c r="A25" s="35" t="inlineStr">
        <is>
          <t>5.1</t>
        </is>
      </c>
      <c r="B25" s="34" t="inlineStr">
        <is>
          <t>Chuyên gia chấm Đạt bao nhiêu tin?</t>
        </is>
      </c>
      <c r="C25" s="38" t="n">
        <v>8</v>
      </c>
      <c r="D25" s="39" t="str">
        <f>IF(C25="","",IF(ISNUMBER(C25),IF(ABS(C25-8)&lt;=0.01,"Đúng","Chưa đúng"),"Gõ một số"))</f>
        <v>Đúng</v>
      </c>
      <c r="E25" s="34" t="inlineStr">
        <is>
          <t>53</t>
        </is>
      </c>
    </row>
    <row r="26" ht="42" customHeight="1" s="27">
      <c r="A26" s="35" t="inlineStr">
        <is>
          <t>5.2</t>
        </is>
      </c>
      <c r="B26" s="34" t="inlineStr">
        <is>
          <t>Giám khảo chấm Đạt bao nhiêu tin?</t>
        </is>
      </c>
      <c r="C26" s="38" t="n">
        <v>9</v>
      </c>
      <c r="D26" s="39" t="str">
        <f>IF(C26="","",IF(ISNUMBER(C26),IF(ABS(C26-9)&lt;=0.01,"Đúng","Chưa đúng"),"Gõ một số"))</f>
        <v>Đúng</v>
      </c>
      <c r="E26" s="34" t="inlineStr">
        <is>
          <t>53</t>
        </is>
      </c>
    </row>
    <row r="27" ht="42" customHeight="1" s="27">
      <c r="A27" s="35" t="inlineStr">
        <is>
          <t>5.3</t>
        </is>
      </c>
      <c r="B27" s="34" t="inlineStr">
        <is>
          <t>Số tin hai bên khớp nhau?</t>
        </is>
      </c>
      <c r="C27" s="38" t="n">
        <v>9</v>
      </c>
      <c r="D27" s="39" t="str">
        <f>IF(C27="","",IF(ISNUMBER(C27),IF(ABS(C27-9)&lt;=0.01,"Đúng","Chưa đúng"),"Gõ một số"))</f>
        <v>Đúng</v>
      </c>
      <c r="E27" s="34" t="inlineStr">
        <is>
          <t>53</t>
        </is>
      </c>
    </row>
    <row r="28" ht="42" customHeight="1" s="27">
      <c r="A28" s="35" t="inlineStr">
        <is>
          <t>5.4</t>
        </is>
      </c>
      <c r="B28" s="34" t="inlineStr">
        <is>
          <t>Ô "cả hai Đạt" (nhận đúng ca đạt) có bao nhiêu tin?</t>
        </is>
      </c>
      <c r="C28" s="38" t="n">
        <v>7</v>
      </c>
      <c r="D28" s="39" t="str">
        <f>IF(C28="","",IF(ISNUMBER(C28),IF(ABS(C28-7)&lt;=0.01,"Đúng","Chưa đúng"),"Gõ một số"))</f>
        <v>Đúng</v>
      </c>
      <c r="E28" s="34" t="inlineStr">
        <is>
          <t>53</t>
        </is>
      </c>
    </row>
    <row r="29" ht="42" customHeight="1" s="27">
      <c r="A29" s="35" t="inlineStr">
        <is>
          <t>5.5</t>
        </is>
      </c>
      <c r="B29" s="34" t="inlineStr">
        <is>
          <t>Ô "giám khảo Đạt, chuyên gia Không đạt" (cho qua lỗi) có bao nhiêu tin?</t>
        </is>
      </c>
      <c r="C29" s="38" t="n">
        <v>2</v>
      </c>
      <c r="D29" s="39" t="str">
        <f>IF(C29="","",IF(ISNUMBER(C29),IF(ABS(C29-2)&lt;=0.01,"Đúng","Chưa đúng"),"Gõ một số"))</f>
        <v>Đúng</v>
      </c>
      <c r="E29" s="34" t="inlineStr">
        <is>
          <t>53</t>
        </is>
      </c>
    </row>
    <row r="30" ht="42" customHeight="1" s="27">
      <c r="A30" s="35" t="inlineStr">
        <is>
          <t>5.6</t>
        </is>
      </c>
      <c r="B30" s="34" t="inlineStr">
        <is>
          <t>Ô "giám khảo Không đạt, chuyên gia Đạt" (chặn nhầm) có bao nhiêu tin?</t>
        </is>
      </c>
      <c r="C30" s="38" t="n">
        <v>1</v>
      </c>
      <c r="D30" s="39" t="str">
        <f>IF(C30="","",IF(ISNUMBER(C30),IF(ABS(C30-1)&lt;=0.01,"Đúng","Chưa đúng"),"Gõ một số"))</f>
        <v>Đúng</v>
      </c>
      <c r="E30" s="34" t="inlineStr">
        <is>
          <t>53</t>
        </is>
      </c>
    </row>
    <row r="31" ht="42" customHeight="1" s="27">
      <c r="A31" s="35" t="inlineStr">
        <is>
          <t>5.7</t>
        </is>
      </c>
      <c r="B31" s="34" t="inlineStr">
        <is>
          <t>Ô "cả hai Không đạt" (bắt đúng ca trượt) có bao nhiêu tin?</t>
        </is>
      </c>
      <c r="C31" s="38" t="n">
        <v>2</v>
      </c>
      <c r="D31" s="39" t="str">
        <f>IF(C31="","",IF(ISNUMBER(C31),IF(ABS(C31-2)&lt;=0.01,"Đúng","Chưa đúng"),"Gõ một số"))</f>
        <v>Đúng</v>
      </c>
      <c r="E31" s="34" t="inlineStr">
        <is>
          <t>53</t>
        </is>
      </c>
    </row>
    <row r="32" ht="42" customHeight="1" s="27">
      <c r="A32" s="35" t="inlineStr">
        <is>
          <t>5.8</t>
        </is>
      </c>
      <c r="B32" s="34" t="inlineStr">
        <is>
          <t>TPR là bao nhiêu? (gõ kèm %, 1 chữ số thập phân)</t>
        </is>
      </c>
      <c r="C32" s="45" t="n">
        <v>0.875</v>
      </c>
      <c r="D32" s="39" t="str">
        <f>IF(C32="","",IF(ISNUMBER(C32),IF(OR(ABS(C32-0.875)&lt;=0.006,ABS(C32-87.5)&lt;=0.6),"Đúng","Chưa đúng"),"Gõ một số"))</f>
        <v>Đúng</v>
      </c>
      <c r="E32" s="34" t="inlineStr">
        <is>
          <t>53</t>
        </is>
      </c>
    </row>
    <row r="33" ht="42" customHeight="1" s="27">
      <c r="A33" s="35" t="inlineStr">
        <is>
          <t>5.9</t>
        </is>
      </c>
      <c r="B33" s="34" t="inlineStr">
        <is>
          <t>TNR là bao nhiêu? (gõ kèm %)</t>
        </is>
      </c>
      <c r="C33" s="40" t="n">
        <v>0.5</v>
      </c>
      <c r="D33" s="39" t="str">
        <f>IF(C33="","",IF(ISNUMBER(C33),IF(OR(ABS(C33-0.5)&lt;=0.006,ABS(C33-50)&lt;=0.6),"Đúng","Chưa đúng"),"Gõ một số"))</f>
        <v>Đúng</v>
      </c>
      <c r="E33" s="34" t="inlineStr">
        <is>
          <t>53</t>
        </is>
      </c>
    </row>
    <row r="34" ht="42" customHeight="1" s="27">
      <c r="A34" s="35" t="inlineStr">
        <is>
          <t>5.10</t>
        </is>
      </c>
      <c r="B34" s="34" t="inlineStr">
        <is>
          <t>Với ngưỡng 85%, kết luận nào đúng?</t>
        </is>
      </c>
      <c r="C34" s="41" t="inlineStr">
        <is>
          <t>B</t>
        </is>
      </c>
      <c r="D34" s="39" t="str">
        <f>IF(C34="","",IF(C34="B","Đúng","Chưa đúng"))</f>
        <v>Đúng</v>
      </c>
      <c r="E34" s="34" t="inlineStr">
        <is>
          <t>56</t>
        </is>
      </c>
    </row>
    <row r="35" ht="42" customHeight="1" s="27">
      <c r="A35" s="35" t="inlineStr">
        <is>
          <t>5.11</t>
        </is>
      </c>
      <c r="B35" s="34" t="inlineStr">
        <is>
          <t>Ô nào nguy hiểm nhất?  (chọn: Cho qua lỗi / Chặn nhầm)</t>
        </is>
      </c>
      <c r="C35" s="41" t="inlineStr">
        <is>
          <t>Cho qua lỗi</t>
        </is>
      </c>
      <c r="D35" s="39" t="str">
        <f>IF(C35="","",IF(C35="Cho qua lỗi","Đúng","Chưa đúng"))</f>
        <v>Đúng</v>
      </c>
      <c r="E35" s="34" t="inlineStr">
        <is>
          <t>53</t>
        </is>
      </c>
    </row>
    <row r="36" ht="63" customHeight="1" s="27">
      <c r="A36" s="35" t="inlineStr">
        <is>
          <t>5.12</t>
        </is>
      </c>
      <c r="B36" s="34" t="inlineStr">
        <is>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is>
      </c>
      <c r="C36" s="46" t="n">
        <v>0.4</v>
      </c>
      <c r="D36" s="39" t="str">
        <f>IF(C36="","",IF(ISNUMBER(C36),IF(ABS(C36-0.4)&lt;=0.006,"Đúng","Chưa đúng"),"Gõ một số"))</f>
        <v>Đúng</v>
      </c>
      <c r="E36" s="34" t="inlineStr">
        <is>
          <t>55</t>
        </is>
      </c>
    </row>
    <row r="37" ht="42" customHeight="1" s="27">
      <c r="A37" s="35" t="inlineStr">
        <is>
          <t>5.13</t>
        </is>
      </c>
      <c r="B37" s="34" t="inlineStr">
        <is>
          <t>Sau 3 vòng: tập hiệu chỉnh TPR 90%, TNR 89%; tập kiểm tra giữ riêng TPR 88%, TNR 85%. Chênh lớn nhất giữa hai tập là bao nhiêu điểm?</t>
        </is>
      </c>
      <c r="C37" s="38" t="n">
        <v>4</v>
      </c>
      <c r="D37" s="39" t="str">
        <f>IF(C37="","",IF(ISNUMBER(C37),IF(ABS(C37-4)&lt;=0.01,"Đúng","Chưa đúng"),"Gõ một số"))</f>
        <v>Đúng</v>
      </c>
      <c r="E37" s="34" t="inlineStr">
        <is>
          <t>56</t>
        </is>
      </c>
    </row>
    <row r="38" ht="42" customHeight="1" s="27">
      <c r="A38" s="35" t="inlineStr">
        <is>
          <t>5.14</t>
        </is>
      </c>
      <c r="B38" s="34" t="inlineStr">
        <is>
          <t>Với kết quả câu 5.13, giám khảo đã hiệu chỉnh xong (chênh ≤ 5 điểm, cả hai ≥ 85%) chưa?  (chọn: Có / Không)</t>
        </is>
      </c>
      <c r="C38" s="41" t="inlineStr">
        <is>
          <t>Có</t>
        </is>
      </c>
      <c r="D38" s="39" t="str">
        <f>IF(C38="","",IF(C38="Có","Đúng","Chưa đúng"))</f>
        <v>Đúng</v>
      </c>
      <c r="E38" s="34" t="inlineStr">
        <is>
          <t>56</t>
        </is>
      </c>
    </row>
    <row r="39" ht="42" customHeight="1" s="27">
      <c r="A39" s="35" t="inlineStr">
        <is>
          <t>5.15</t>
        </is>
      </c>
      <c r="B39" s="34" t="inlineStr">
        <is>
          <t>"Giám khảo cùng họ mô hình với trợ lý sẽ chấm công bằng hơn vì hiểu cách nó trả lời."  (chọn: Đúng / Sai)</t>
        </is>
      </c>
      <c r="C39" s="41" t="inlineStr">
        <is>
          <t>Sai</t>
        </is>
      </c>
      <c r="D39" s="39" t="str">
        <f>IF(C39="","",IF(C39="Sai","Đúng","Chưa đúng"))</f>
        <v>Đúng</v>
      </c>
      <c r="E39" s="34" t="inlineStr">
        <is>
          <t>55</t>
        </is>
      </c>
    </row>
    <row r="40" ht="42" customHeight="1" s="27">
      <c r="A40" s="35" t="inlineStr">
        <is>
          <t>5.16</t>
        </is>
      </c>
      <c r="B40" s="34" t="inlineStr">
        <is>
          <t>"Cho giám khảo chấm thang 1–10 để kết quả chi tiết hơn."  (chọn: Đúng / Sai)</t>
        </is>
      </c>
      <c r="C40" s="41" t="inlineStr">
        <is>
          <t>Sai</t>
        </is>
      </c>
      <c r="D40" s="39" t="str">
        <f>IF(C40="","",IF(C40="Sai","Đúng","Chưa đúng"))</f>
        <v>Đúng</v>
      </c>
      <c r="E40" s="34" t="inlineStr">
        <is>
          <t>52</t>
        </is>
      </c>
    </row>
    <row r="41" ht="42" customHeight="1" s="27">
      <c r="A41" s="35" t="inlineStr">
        <is>
          <t>5.17</t>
        </is>
      </c>
      <c r="B41" s="34" t="inlineStr">
        <is>
          <t>"Dùng 3 giám khảo thì lấy kết luận theo đa số phiếu."  (chọn: Đúng / Sai)</t>
        </is>
      </c>
      <c r="C41" s="41" t="inlineStr">
        <is>
          <t>Sai</t>
        </is>
      </c>
      <c r="D41" s="39" t="str">
        <f>IF(C41="","",IF(C41="Sai","Đúng","Chưa đúng"))</f>
        <v>Đúng</v>
      </c>
      <c r="E41" s="34" t="inlineStr">
        <is>
          <t>55</t>
        </is>
      </c>
    </row>
    <row r="42" ht="42" customHeight="1" s="27">
      <c r="A42" s="35" t="inlineStr">
        <is>
          <t>5.18</t>
        </is>
      </c>
      <c r="B42" s="34" t="inlineStr">
        <is>
          <t>"Khi chính các chuyên gia chấm lệch nhau nhiều, phải sửa tiêu chí trước khi nghĩ đến tự động hóa."  (chọn: Đúng / Sai)</t>
        </is>
      </c>
      <c r="C42" s="41" t="inlineStr">
        <is>
          <t>Đúng</t>
        </is>
      </c>
      <c r="D42" s="39" t="str">
        <f>IF(C42="","",IF(C42="Đúng","Đúng","Chưa đúng"))</f>
        <v>Đúng</v>
      </c>
      <c r="E42" s="34" t="inlineStr">
        <is>
          <t>58</t>
        </is>
      </c>
    </row>
    <row r="43"/>
    <row r="44" ht="18" customHeight="1" s="27">
      <c r="A44" s="35" t="inlineStr">
        <is>
          <t>Số câu đúng</t>
        </is>
      </c>
      <c r="B44" s="37" t="n"/>
      <c r="C44" s="42" t="n">
        <f>COUNTIF(D25:D42,"Đúng")</f>
        <v>18</v>
      </c>
      <c r="D44" s="34" t="inlineStr">
        <is>
          <t>/ 18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6">
    <mergeCell ref="A4:E4"/>
    <mergeCell ref="A2:E2"/>
    <mergeCell ref="A5:E5"/>
    <mergeCell ref="A44:B44"/>
    <mergeCell ref="A6:E6"/>
    <mergeCell ref="A22:E22"/>
  </mergeCells>
  <dataValidations count="7">
    <dataValidation sqref="C34" showDropDown="0" showInputMessage="0" showErrorMessage="0" allowBlank="1" type="list" errorStyle="stop" operator="between">
      <formula1>_ds!$B$1:$B$3</formula1>
      <formula2>0</formula2>
    </dataValidation>
    <dataValidation sqref="C35" showDropDown="0" showInputMessage="0" showErrorMessage="0" allowBlank="1" type="list" errorStyle="stop" operator="between">
      <formula1>_ds!$L$1:$L$2</formula1>
      <formula2>0</formula2>
    </dataValidation>
    <dataValidation sqref="C38" showDropDown="0" showInputMessage="0" showErrorMessage="0" allowBlank="1" type="list" errorStyle="stop" operator="between">
      <formula1>_ds!$A$1:$A$2</formula1>
      <formula2>0</formula2>
    </dataValidation>
    <dataValidation sqref="C39" showDropDown="0" showInputMessage="0" showErrorMessage="0" allowBlank="1" type="list" errorStyle="stop" operator="between">
      <formula1>_ds!$M$1:$M$2</formula1>
      <formula2>0</formula2>
    </dataValidation>
    <dataValidation sqref="C40" showDropDown="0" showInputMessage="0" showErrorMessage="0" allowBlank="1" type="list" errorStyle="stop" operator="between">
      <formula1>_ds!$M$1:$M$2</formula1>
      <formula2>0</formula2>
    </dataValidation>
    <dataValidation sqref="C41" showDropDown="0" showInputMessage="0" showErrorMessage="0" allowBlank="1" type="list" errorStyle="stop" operator="between">
      <formula1>_ds!$M$1:$M$2</formula1>
      <formula2>0</formula2>
    </dataValidation>
    <dataValidation sqref="C42" showDropDown="0" showInputMessage="0" showErrorMessage="0" allowBlank="1" type="list" errorStyle="stop" operator="between">
      <formula1>_ds!$M$1:$M$2</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1"/>
  </sheetPr>
  <dimension ref="A1:G1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34" customWidth="1" style="26" min="2" max="2"/>
    <col width="40" customWidth="1" style="26" min="3" max="3"/>
    <col width="34" customWidth="1" style="26" min="4" max="4"/>
    <col width="22" customWidth="1" style="26" min="5" max="5"/>
    <col width="20" customWidth="1" style="26" min="6" max="7"/>
    <col width="24" customWidth="1" style="27" min="7" max="7"/>
  </cols>
  <sheetData>
    <row r="1" ht="17.35" customHeight="1" s="27">
      <c r="A1" s="28" t="inlineStr">
        <is>
          <t>Xưởng · Bộ đánh giá cho trợ lý đổi trả Mộc (50 phút, làm theo nhóm, có chấm điểm)</t>
        </is>
      </c>
    </row>
    <row r="2" ht="33" customHeight="1" s="27">
      <c r="A2" s="29" t="inlineStr">
        <is>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is>
      </c>
    </row>
    <row r="3" ht="48" customHeight="1" s="27">
      <c r="A3" s="35" t="inlineStr">
        <is>
          <t>Tên nhóm và thành viên:</t>
        </is>
      </c>
      <c r="B3" s="37" t="n"/>
      <c r="C3" s="44" t="inlineStr">
        <is>
          <t>Nhóm DBH
Phạm Quốc Đạt (2A202602384) · Nguyễn Văn Biển (2A202602416) · Mai Tiến Huy (2A202602914)</t>
        </is>
      </c>
      <c r="D3" s="47" t="n"/>
      <c r="E3" s="47" t="n"/>
      <c r="F3" s="47" t="n"/>
      <c r="G3" s="48" t="n"/>
    </row>
    <row r="4"/>
    <row r="5" ht="18" customHeight="1" s="27">
      <c r="A5" s="49" t="inlineStr">
        <is>
          <t>X1 · Đơn vị công việc AI (4 phút · 1 điểm)</t>
        </is>
      </c>
    </row>
    <row r="6" ht="18" customHeight="1" s="27">
      <c r="A6" s="31" t="inlineStr">
        <is>
          <t>Viết 1 câu: Đọc [đầu vào] → [đầu ra kiểm được], [ràng buộc]. Khác với câu 1.8 của Bài 1: chọn việc SOẠN CÂU TRẢ LỜI đổi trả, không phải việc gắn nhãn.</t>
        </is>
      </c>
    </row>
    <row r="7" ht="94" customHeight="1" s="27">
      <c r="A7" s="35" t="inlineStr">
        <is>
          <t>Câu của nhóm</t>
        </is>
      </c>
      <c r="B7" s="37" t="n"/>
      <c r="C7" s="44" t="inlineStr">
        <is>
          <t>Đọc 1 tin nhắn yêu cầu đổi/trả cùng chính sách CS-1–CS-6 và dữ liệu tra cứu đơn → soạn 1 câu trả lời tối đa 120 từ nêu kết quả kiểm tra và bước tiếp theo; tra cứu trước khi xác nhận, thiếu mã thì hỏi mã đơn/số điện thoại, chưa rõ đơn thì hỏi lại, hàng lỗi hoặc khách đòi gặp người thì gọi chuyen_nhan_vien kèm lý do, không tự hứa đền bù; trung vị phản hồi &lt; 2 giây.</t>
        </is>
      </c>
      <c r="D7" s="47" t="n"/>
      <c r="E7" s="47" t="n"/>
      <c r="F7" s="48" t="n"/>
      <c r="G7" s="39"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8"/>
    <row r="9" ht="18" customHeight="1" s="27">
      <c r="A9" s="49" t="inlineStr">
        <is>
          <t>X2 · Chiều và phễu (6 phút · 1 điểm)</t>
        </is>
      </c>
    </row>
    <row r="10" ht="18" customHeight="1" s="27">
      <c r="A10" s="31" t="inlineStr">
        <is>
          <t>Chọn 3 chiều qua phép thử (ghi rõ hành vi đúng đổi thế nào), số giá trị mỗi chiều, số tổ hợp phi lý loại đi, số tình huống chọn, số cách diễn đạt. File tự tính số đầu vào.</t>
        </is>
      </c>
    </row>
    <row r="11" ht="18" customHeight="1" s="27">
      <c r="A11" s="33" t="inlineStr">
        <is>
          <t>#</t>
        </is>
      </c>
      <c r="B11" s="33" t="inlineStr">
        <is>
          <t>Chiều</t>
        </is>
      </c>
      <c r="C11" s="33" t="inlineStr">
        <is>
          <t>Số giá trị</t>
        </is>
      </c>
      <c r="D11" s="33" t="inlineStr">
        <is>
          <t>Hành vi đúng đổi thế nào khi đổi giá trị (phép thử, trang 26)</t>
        </is>
      </c>
      <c r="E11" s="43" t="n"/>
      <c r="F11" s="43" t="n"/>
      <c r="G11" s="37" t="n"/>
    </row>
    <row r="12" ht="116" customHeight="1" s="27">
      <c r="A12" s="34" t="inlineStr">
        <is>
          <t>1</t>
        </is>
      </c>
      <c r="B12" s="44" t="inlineStr">
        <is>
          <t>Nhu cầu chính: đổi size/màu; trả thường; khiếu nại hàng lỗi</t>
        </is>
      </c>
      <c r="C12" s="38" t="n">
        <v>3</v>
      </c>
      <c r="D12" s="44" t="inlineStr">
        <is>
          <t>Đổi → kiểm 7 ngày, tem và miễn phí lần đầu (CS-1). Trả thường → kiểm 7 ngày, hoàn 3–5 ngày làm việc sau khi kho nhận (CS-2). Hàng lỗi → nhãn Trả hàng + cờ lỗi, xét mốc 30 ngày và chuyển người, không hứa đền bù (CS-3, CS-6).</t>
        </is>
      </c>
      <c r="E12" s="47" t="n"/>
      <c r="F12" s="47" t="n"/>
      <c r="G12" s="48" t="n"/>
    </row>
    <row r="13" ht="116" customHeight="1" s="27">
      <c r="A13" s="34" t="inlineStr">
        <is>
          <t>2</t>
        </is>
      </c>
      <c r="B13" s="44" t="inlineStr">
        <is>
          <t>Mức xác định đơn: 1 mã rõ; thiếu mã; nhiều đơn chưa chọn</t>
        </is>
      </c>
      <c r="C13" s="38" t="n">
        <v>3</v>
      </c>
      <c r="D13" s="44" t="inlineStr">
        <is>
          <t>Một mã rõ → tra đúng mã (CS-4). Thiếu mã → hỏi mã đơn hoặc số điện thoại (CS-5). Nhiều đơn chưa chọn → hỏi khách xác nhận đơn cần xử lý; nhãn Cần làm rõ, không tự chọn đơn, chưa tạo yêu cầu (CS-5).</t>
        </is>
      </c>
      <c r="E13" s="47" t="n"/>
      <c r="F13" s="47" t="n"/>
      <c r="G13" s="48" t="n"/>
    </row>
    <row r="14" ht="116" customHeight="1" s="27">
      <c r="A14" s="34" t="inlineStr">
        <is>
          <t>3</t>
        </is>
      </c>
      <c r="B14" s="44" t="inlineStr">
        <is>
          <t>Ngày từ lúc nhận theo dữ liệu chuẩn: 0–7; 8–30; &gt;30</t>
        </is>
      </c>
      <c r="C14" s="38" t="n">
        <v>3</v>
      </c>
      <c r="D14" s="44" t="inlineStr">
        <is>
          <t>0–7 → xét đổi/trả thường sau tra cứu và xác minh điều kiện. 8–30 → không nhận đổi/trả thường; lỗi trong 30 ngày chuyển người (CS-1–CS-4). &gt;30 → không tự xác nhận thuộc hạn CS-1–CS-3; lỗi hoặc khách muốn gặp người vẫn chuyển theo CS-6. Ngày nhận chỉ được biết sau tra cứu.</t>
        </is>
      </c>
      <c r="E14" s="47" t="n"/>
      <c r="F14" s="47" t="n"/>
      <c r="G14" s="48" t="n"/>
    </row>
    <row r="15" ht="18" customHeight="1" s="27">
      <c r="A15" s="35" t="inlineStr">
        <is>
          <t>Số tổ hợp (tự tính)</t>
        </is>
      </c>
      <c r="B15" s="37" t="n"/>
      <c r="C15" s="50" t="n">
        <f>IF(COUNT(C12:C14)&lt;3,"",PRODUCT(C12:C14))</f>
        <v>27</v>
      </c>
    </row>
    <row r="16" ht="18" customHeight="1" s="27">
      <c r="A16" s="35" t="inlineStr">
        <is>
          <t>Số tổ hợp phi lý loại đi</t>
        </is>
      </c>
      <c r="B16" s="37" t="n"/>
      <c r="C16" s="38" t="n">
        <v>0</v>
      </c>
    </row>
    <row r="17" ht="18" customHeight="1" s="27">
      <c r="A17" s="35" t="inlineStr">
        <is>
          <t>Còn lại (tự tính)</t>
        </is>
      </c>
      <c r="B17" s="37" t="n"/>
      <c r="C17" s="50" t="n">
        <f>IF(OR(C15="",C16=""),"",C15-C16)</f>
        <v>27</v>
      </c>
    </row>
    <row r="18" ht="18" customHeight="1" s="27">
      <c r="A18" s="35" t="inlineStr">
        <is>
          <t>Số tình huống chọn để thử</t>
        </is>
      </c>
      <c r="B18" s="37" t="n"/>
      <c r="C18" s="38" t="n">
        <v>16</v>
      </c>
      <c r="D18" s="39" t="str">
        <f>IF(OR(C18="",C17=""),"",IF(C18&gt;C17,"Chọn nhiều hơn số còn lại","Đạt"))</f>
        <v>Đạt</v>
      </c>
    </row>
    <row r="19" ht="18" customHeight="1" s="27">
      <c r="A19" s="35" t="inlineStr">
        <is>
          <t>Số cách diễn đạt mỗi tình huống</t>
        </is>
      </c>
      <c r="B19" s="37" t="n"/>
      <c r="C19" s="38" t="n">
        <v>3</v>
      </c>
    </row>
    <row r="20" ht="18" customHeight="1" s="27">
      <c r="A20" s="35" t="inlineStr">
        <is>
          <t>Số đầu vào của bộ đề (tự tính)</t>
        </is>
      </c>
      <c r="B20" s="37" t="n"/>
      <c r="C20" s="42" t="n">
        <f>IF(OR(C18="",C19=""),"",C18*C19)</f>
        <v>48</v>
      </c>
      <c r="D20" s="39" t="str">
        <f>IF(C20="","",IF(AND(C20&gt;=40,C20&lt;=50),"Đạt","Nên trong khoảng 40–50 (trang 29)"))</f>
        <v>Đạt</v>
      </c>
    </row>
    <row r="21"/>
    <row r="22" ht="18" customHeight="1" s="27">
      <c r="A22" s="49" t="inlineStr">
        <is>
          <t>X3 · 8 tình huống (9 phút · 2 điểm)</t>
        </is>
      </c>
    </row>
    <row r="23" ht="18" customHeight="1" s="27">
      <c r="A23" s="31" t="inlineStr">
        <is>
          <t>8 tình huống cho trợ lý Mộc: tin nhắn của khách, hành vi đúng mong đợi (dẫn chính sách CS-1 đến CS-6), loại tình huống. Có đủ 3 loại; ít nhất 3 tình huống thử thách.</t>
        </is>
      </c>
    </row>
    <row r="24" ht="18" customHeight="1" s="27">
      <c r="A24" s="33" t="inlineStr">
        <is>
          <t>#</t>
        </is>
      </c>
      <c r="B24" s="33" t="inlineStr">
        <is>
          <t>Tin nhắn của khách</t>
        </is>
      </c>
      <c r="C24" s="33" t="inlineStr">
        <is>
          <t>Hành vi đúng mong đợi (dẫn CS-1 đến CS-6)</t>
        </is>
      </c>
      <c r="D24" s="37" t="n"/>
      <c r="E24" s="33" t="inlineStr">
        <is>
          <t>Loại tình huống</t>
        </is>
      </c>
    </row>
    <row r="25" ht="164" customHeight="1" s="27">
      <c r="A25" s="34" t="inlineStr">
        <is>
          <t>1</t>
        </is>
      </c>
      <c r="B25" s="44" t="inlineStr">
        <is>
          <t>MS-1201 mình nhận áo 2 ngày trước, còn tem, đổi lần đầu từ M sang L giúp mình.</t>
        </is>
      </c>
      <c r="C25" s="44" t="inlineStr">
        <is>
          <t>tra_cuu_don(MS-1201) xác minh ngày nhận và trạng thái; sau khi đủ điều kiện thì tạo yêu cầu đổi size L, báo miễn phí lần đầu và hướng dẫn bước tiếp theo (CS-1, CS-4). Không hứa còn size L vì chưa có công cụ tồn kho.</t>
        </is>
      </c>
      <c r="D25" s="48" t="n"/>
      <c r="E25" s="41" t="inlineStr">
        <is>
          <t>Đại diện</t>
        </is>
      </c>
    </row>
    <row r="26" ht="164" customHeight="1" s="27">
      <c r="A26" s="34" t="inlineStr">
        <is>
          <t>2</t>
        </is>
      </c>
      <c r="B26" s="44" t="inlineStr">
        <is>
          <t>Mình muốn trả áo đơn MS-1202, nhận 5 ngày trước, không có lỗi; hướng dẫn hoàn tiền giúp mình.</t>
        </is>
      </c>
      <c r="C26" s="44" t="inlineStr">
        <is>
          <t>Tra đúng MS-1202; nếu xác minh còn hạn 7 ngày thì tạo yêu cầu trả và hướng dẫn gửi lại; tiền hoàn trong 3–5 ngày làm việc SAU KHI kho nhận hàng, không tính từ lúc nhắn và không báo đã hoàn tiền (CS-2, CS-4).</t>
        </is>
      </c>
      <c r="D26" s="48" t="n"/>
      <c r="E26" s="41" t="inlineStr">
        <is>
          <t>Đại diện</t>
        </is>
      </c>
    </row>
    <row r="27" ht="164" customHeight="1" s="27">
      <c r="A27" s="34" t="inlineStr">
        <is>
          <t>3</t>
        </is>
      </c>
      <c r="B27" s="44" t="inlineStr">
        <is>
          <t>Áo mình nhận 3 ngày trước bị chật, đổi lên L được không? Mình quên mã đơn rồi.</t>
        </is>
      </c>
      <c r="C27" s="44" t="inlineStr">
        <is>
          <t>Hỏi mã đơn hoặc số điện thoại đặt hàng để xác định và tra đơn; chưa xác định đơn thì Cần làm rõ, không đoán mã/ngày nhận, không tạo hay xác nhận đổi. Sau tra cứu hỏi tem và lần đổi nếu thiếu (CS-1, CS-4, CS-5).</t>
        </is>
      </c>
      <c r="D27" s="48" t="n"/>
      <c r="E27" s="41" t="inlineStr">
        <is>
          <t>Thử thách</t>
        </is>
      </c>
    </row>
    <row r="28" ht="164" customHeight="1" s="27">
      <c r="A28" s="34" t="inlineStr">
        <is>
          <t>4</t>
        </is>
      </c>
      <c r="B28" s="44" t="inlineStr">
        <is>
          <t>Cái đơn hôm bữa ấy, thôi mình không lấy nữa được không?</t>
        </is>
      </c>
      <c r="C28" s="44" t="inlineStr">
        <is>
          <t>Gắn Cần làm rõ; hỏi khách nói đơn nào và muốn hủy đơn chưa giao hay trả hàng đã nhận. Xin mã/số điện thoại; nếu tra ra 2 đơn thì yêu cầu khách chọn, không tự lấy đơn mới nhất để tạo yêu cầu trả (CS-4, CS-5).</t>
        </is>
      </c>
      <c r="D28" s="48" t="n"/>
      <c r="E28" s="41" t="inlineStr">
        <is>
          <t>Thử thách</t>
        </is>
      </c>
    </row>
    <row r="29" ht="164" customHeight="1" s="27">
      <c r="A29" s="34" t="inlineStr">
        <is>
          <t>5</t>
        </is>
      </c>
      <c r="B29" s="44" t="inlineStr">
        <is>
          <t>Đơn MS-1204 nhận 5 ngày mình muốn trả; đơn MS-1205 nhận 2 ngày còn tem, đổi lần đầu sang L.</t>
        </is>
      </c>
      <c r="C29" s="44" t="inlineStr">
        <is>
          <t>Tách từng đơn: tra MS-1204 và xử lý trả theo CS-2; tra MS-1205 và xử lý đổi theo CS-1. Mỗi yêu cầu được tạo sau tra cứu mã tương ứng; không hoán đổi thao tác. Báo mốc hoàn sau khi kho nhận và miễn phí đổi lần đầu (CS-4).</t>
        </is>
      </c>
      <c r="D29" s="48" t="n"/>
      <c r="E29" s="41" t="inlineStr">
        <is>
          <t>Thử thách</t>
        </is>
      </c>
    </row>
    <row r="30" ht="164" customHeight="1" s="27">
      <c r="A30" s="34" t="inlineStr">
        <is>
          <t>6</t>
        </is>
      </c>
      <c r="B30" s="44" t="inlineStr">
        <is>
          <t>Đơn MS-1206 mua 20 ngày mà đế giày bong hết, mình bực lắm; cho gặp người phụ trách.</t>
        </is>
      </c>
      <c r="C30" s="44" t="inlineStr">
        <is>
          <t>Ghi nhận sự bực bội trước xử lý; nhãn Trả hàng + cờ hàng lỗi. Tra MS-1206 rồi gọi chuyen_nhan_vien với lý do bong đế và khách yêu cầu gặp người. Không từ chối chỉ vì quá 7 ngày, không hứa mức đền bù (CS-3, CS-4, CS-6).</t>
        </is>
      </c>
      <c r="D30" s="48" t="n"/>
      <c r="E30" s="41" t="inlineStr">
        <is>
          <t>Thử thách</t>
        </is>
      </c>
    </row>
    <row r="31" ht="164" customHeight="1" s="27">
      <c r="A31" s="34" t="inlineStr">
        <is>
          <t>7</t>
        </is>
      </c>
      <c r="B31" s="44" t="inlineStr">
        <is>
          <t>Đơn MS-0871 nhận 20 ngày rồi, hàng không lỗi nhưng mình muốn trả lấy tiền, được không?</t>
        </is>
      </c>
      <c r="C31" s="44" t="inlineStr">
        <is>
          <t>Tra MS-0871; xác minh 20 ngày thì giải thích trả thường quá hạn 7 ngày, không tạo yêu cầu trả hoặc hứa hoàn theo CS-2. Nêu bước tiếp theo: nếu khách muốn xem xét ngoại lệ/gặp nhân viên thì chuyển người, không tự cam kết ngoại lệ (CS-4, CS-6).</t>
        </is>
      </c>
      <c r="D31" s="48" t="n"/>
      <c r="E31" s="41" t="inlineStr">
        <is>
          <t>Hồi quy nghiêm trọng</t>
        </is>
      </c>
    </row>
    <row r="32" ht="164" customHeight="1" s="27">
      <c r="A32" s="34" t="inlineStr">
        <is>
          <t>8</t>
        </is>
      </c>
      <c r="B32" s="41" t="inlineStr">
        <is>
          <t>Mình muốn đổi đơn MS-1120 sang màu đen.</t>
        </is>
      </c>
      <c r="C32" s="44" t="inlineStr">
        <is>
          <t>Bắt buộc tra_cuu_don(MS-1120) trước mọi xác nhận/tạo yêu cầu. Nếu còn hạn thì hỏi tem/lần đổi còn thiếu, chỉ tạo khi đủ điều kiện và hướng dẫn bước tiếp theo. Không gọi tao_yeu_cau_doi_tra ngay như W1 (CS-1, CS-4).</t>
        </is>
      </c>
      <c r="D32" s="48" t="n"/>
      <c r="E32" s="41" t="inlineStr">
        <is>
          <t>Hồi quy nghiêm trọng</t>
        </is>
      </c>
    </row>
    <row r="33" ht="18" customHeight="1" s="27">
      <c r="B33" s="35" t="inlineStr">
        <is>
          <t>Số tình huống đại diện</t>
        </is>
      </c>
      <c r="C33" s="50" t="n">
        <f>COUNTIF(E25:E32,"Đại diện")</f>
        <v>2</v>
      </c>
    </row>
    <row r="34" ht="18" customHeight="1" s="27">
      <c r="B34" s="35" t="inlineStr">
        <is>
          <t>Số tình huống thử thách</t>
        </is>
      </c>
      <c r="C34" s="50" t="n">
        <f>COUNTIF(E25:E32,"Thử thách")</f>
        <v>4</v>
      </c>
    </row>
    <row r="35" ht="18" customHeight="1" s="27">
      <c r="B35" s="35" t="inlineStr">
        <is>
          <t>Số tình huống hồi quy nghiêm trọng</t>
        </is>
      </c>
      <c r="C35" s="50" t="n">
        <f>COUNTIF(E25:E32,"Hồi quy nghiêm trọng")</f>
        <v>2</v>
      </c>
    </row>
    <row r="36" ht="18" customHeight="1" s="27">
      <c r="B36" s="35" t="inlineStr">
        <is>
          <t>Kiểm tra</t>
        </is>
      </c>
      <c r="C36" s="39"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7"/>
    <row r="38" ht="18" customHeight="1" s="27">
      <c r="A38" s="49" t="inlineStr">
        <is>
          <t>X4 · Đọc 3 vết thực thi mới (7 phút · 1,5 điểm)</t>
        </is>
      </c>
    </row>
    <row r="39" ht="18" customHeight="1" s="27">
      <c r="A39" s="31" t="inlineStr">
        <is>
          <t>Với W1, W2, W3: bước sai đầu tiên, mã lỗi gốc, nên sửa ở đâu.</t>
        </is>
      </c>
    </row>
    <row r="40" ht="18" customHeight="1" s="27">
      <c r="A40" s="33" t="inlineStr">
        <is>
          <t>Vết</t>
        </is>
      </c>
      <c r="B40" s="33" t="inlineStr">
        <is>
          <t>Bước · loại · nội dung</t>
        </is>
      </c>
      <c r="C40" s="43" t="n"/>
      <c r="D40" s="43" t="n"/>
      <c r="E40" s="43" t="n"/>
      <c r="F40" s="43" t="n"/>
      <c r="G40" s="37" t="n"/>
    </row>
    <row r="41" ht="18" customHeight="1" s="27">
      <c r="A41" s="35" t="inlineStr">
        <is>
          <t>W1</t>
        </is>
      </c>
      <c r="B41" s="34" t="inlineStr">
        <is>
          <t>1 · Khách: "Mình muốn đổi đơn MS-1120 sang màu đen."</t>
        </is>
      </c>
      <c r="C41" s="43" t="n"/>
      <c r="D41" s="43" t="n"/>
      <c r="E41" s="43" t="n"/>
      <c r="F41" s="43" t="n"/>
      <c r="G41" s="37" t="n"/>
    </row>
    <row r="42" ht="18" customHeight="1" s="27">
      <c r="A42" s="35" t="n"/>
      <c r="B42" s="34" t="inlineStr">
        <is>
          <t>2 · Phân loại ý định: Đổi hàng</t>
        </is>
      </c>
      <c r="C42" s="43" t="n"/>
      <c r="D42" s="43" t="n"/>
      <c r="E42" s="43" t="n"/>
      <c r="F42" s="43" t="n"/>
      <c r="G42" s="37" t="n"/>
    </row>
    <row r="43" ht="18" customHeight="1" s="27">
      <c r="A43" s="35" t="n"/>
      <c r="B43" s="34" t="inlineStr">
        <is>
          <t>3 · Công cụ: tao_yeu_cau_doi_tra(MS-1120, đổi màu) (không gọi tra_cuu_don trước)</t>
        </is>
      </c>
      <c r="C43" s="43" t="n"/>
      <c r="D43" s="43" t="n"/>
      <c r="E43" s="43" t="n"/>
      <c r="F43" s="43" t="n"/>
      <c r="G43" s="37" t="n"/>
    </row>
    <row r="44" ht="18" customHeight="1" s="27">
      <c r="A44" s="35" t="n"/>
      <c r="B44" s="34" t="inlineStr">
        <is>
          <t>4 · Trả lời: "Dạ shop đã tạo yêu cầu đổi sang màu đen cho bạn ạ."</t>
        </is>
      </c>
      <c r="C44" s="43" t="n"/>
      <c r="D44" s="43" t="n"/>
      <c r="E44" s="43" t="n"/>
      <c r="F44" s="43" t="n"/>
      <c r="G44" s="37" t="n"/>
    </row>
    <row r="45" ht="18" customHeight="1" s="27">
      <c r="A45" s="35" t="inlineStr">
        <is>
          <t>W2</t>
        </is>
      </c>
      <c r="B45" s="34" t="inlineStr">
        <is>
          <t>1 · Khách: "Đơn hôm trước á, mình không lấy nữa." (không có mã đơn)</t>
        </is>
      </c>
      <c r="C45" s="43" t="n"/>
      <c r="D45" s="43" t="n"/>
      <c r="E45" s="43" t="n"/>
      <c r="F45" s="43" t="n"/>
      <c r="G45" s="37" t="n"/>
    </row>
    <row r="46" ht="18" customHeight="1" s="27">
      <c r="A46" s="35" t="n"/>
      <c r="B46" s="34" t="inlineStr">
        <is>
          <t>2 · Phân loại ý định: Trả hàng</t>
        </is>
      </c>
      <c r="C46" s="43" t="n"/>
      <c r="D46" s="43" t="n"/>
      <c r="E46" s="43" t="n"/>
      <c r="F46" s="43" t="n"/>
      <c r="G46" s="37" t="n"/>
    </row>
    <row r="47" ht="18" customHeight="1" s="27">
      <c r="A47" s="35" t="n"/>
      <c r="B47" s="34" t="inlineStr">
        <is>
          <t>3 · Công cụ: tra_cuu_don(số điện thoại của khách) → 2 đơn: MS-1187, MS-1188</t>
        </is>
      </c>
      <c r="C47" s="43" t="n"/>
      <c r="D47" s="43" t="n"/>
      <c r="E47" s="43" t="n"/>
      <c r="F47" s="43" t="n"/>
      <c r="G47" s="37" t="n"/>
    </row>
    <row r="48" ht="18" customHeight="1" s="27">
      <c r="A48" s="35" t="n"/>
      <c r="B48" s="34" t="inlineStr">
        <is>
          <t>4 · Công cụ: tao_yeu_cau_doi_tra(MS-1188, trả hàng)</t>
        </is>
      </c>
      <c r="C48" s="43" t="n"/>
      <c r="D48" s="43" t="n"/>
      <c r="E48" s="43" t="n"/>
      <c r="F48" s="43" t="n"/>
      <c r="G48" s="37" t="n"/>
    </row>
    <row r="49" ht="18" customHeight="1" s="27">
      <c r="A49" s="35" t="n"/>
      <c r="B49" s="34" t="inlineStr">
        <is>
          <t>5 · Trả lời: "Dạ shop đã tạo yêu cầu trả đơn MS-1188 ạ."</t>
        </is>
      </c>
      <c r="C49" s="43" t="n"/>
      <c r="D49" s="43" t="n"/>
      <c r="E49" s="43" t="n"/>
      <c r="F49" s="43" t="n"/>
      <c r="G49" s="37" t="n"/>
    </row>
    <row r="50" ht="18" customHeight="1" s="27">
      <c r="A50" s="35" t="inlineStr">
        <is>
          <t>W3</t>
        </is>
      </c>
      <c r="B50" s="34" t="inlineStr">
        <is>
          <t>1 · Khách: "Mình nhắn 3 lần rồi, áo rách, cho mình nói chuyện với người thật." Mã MS-1001</t>
        </is>
      </c>
      <c r="C50" s="43" t="n"/>
      <c r="D50" s="43" t="n"/>
      <c r="E50" s="43" t="n"/>
      <c r="F50" s="43" t="n"/>
      <c r="G50" s="37" t="n"/>
    </row>
    <row r="51" ht="18" customHeight="1" s="27">
      <c r="A51" s="35" t="n"/>
      <c r="B51" s="34" t="inlineStr">
        <is>
          <t>2 · Phân loại ý định: Trả hàng · dấu hiệu hàng lỗi: có</t>
        </is>
      </c>
      <c r="C51" s="43" t="n"/>
      <c r="D51" s="43" t="n"/>
      <c r="E51" s="43" t="n"/>
      <c r="F51" s="43" t="n"/>
      <c r="G51" s="37" t="n"/>
    </row>
    <row r="52" ht="18" customHeight="1" s="27">
      <c r="A52" s="35" t="n"/>
      <c r="B52" s="34" t="inlineStr">
        <is>
          <t>3 · Công cụ: tra_cuu_don(MS-1001) → nhận hàng 5 ngày trước</t>
        </is>
      </c>
      <c r="C52" s="43" t="n"/>
      <c r="D52" s="43" t="n"/>
      <c r="E52" s="43" t="n"/>
      <c r="F52" s="43" t="n"/>
      <c r="G52" s="37" t="n"/>
    </row>
    <row r="53" ht="18" customHeight="1" s="27">
      <c r="A53" s="35" t="n"/>
      <c r="B53" s="34" t="inlineStr">
        <is>
          <t>4 · Trả lời: "Dạ bạn có thể gửi trả trong 7 ngày, shop hoàn tiền 3–5 ngày làm việc ạ." (không gọi chuyen_nhan_vien)</t>
        </is>
      </c>
      <c r="C53" s="43" t="n"/>
      <c r="D53" s="43" t="n"/>
      <c r="E53" s="43" t="n"/>
      <c r="F53" s="43" t="n"/>
      <c r="G53" s="37" t="n"/>
    </row>
    <row r="54"/>
    <row r="55" ht="18" customHeight="1" s="27">
      <c r="A55" s="33" t="inlineStr">
        <is>
          <t>Vết</t>
        </is>
      </c>
      <c r="B55" s="33" t="inlineStr">
        <is>
          <t>Bước sai đầu tiên (số)</t>
        </is>
      </c>
      <c r="C55" s="33" t="inlineStr">
        <is>
          <t>Mã lỗi gốc</t>
        </is>
      </c>
      <c r="D55" s="33" t="inlineStr">
        <is>
          <t>Nên sửa ở đâu (1 câu)</t>
        </is>
      </c>
      <c r="E55" s="37" t="n"/>
      <c r="F55" s="33" t="inlineStr">
        <is>
          <t>Kiểm tra bước</t>
        </is>
      </c>
      <c r="G55" s="33" t="inlineStr">
        <is>
          <t>Kiểm tra mã</t>
        </is>
      </c>
    </row>
    <row r="56" ht="92" customHeight="1" s="27">
      <c r="A56" s="35" t="inlineStr">
        <is>
          <t>W1</t>
        </is>
      </c>
      <c r="B56" s="38" t="n">
        <v>3</v>
      </c>
      <c r="C56" s="41" t="inlineStr">
        <is>
          <t>missing_lookup</t>
        </is>
      </c>
      <c r="D56" s="44" t="inlineStr">
        <is>
          <t>Chặn tao_yeu_cau_doi_tra ở lớp điều phối nếu chưa tra thành công đúng mã và chưa kiểm ngày nhận/trạng thái; thêm W1 vào bộ chống tái phát (CS-4).</t>
        </is>
      </c>
      <c r="E56" s="48" t="n"/>
      <c r="F56" s="39" t="str">
        <f>IF(B56="","",IF(B56=3,"Đúng","Chưa đúng"))</f>
        <v>Đúng</v>
      </c>
      <c r="G56" s="39" t="str">
        <f>IF(C56="","",IF(C56="missing_lookup","Đúng","Chưa đúng"))</f>
        <v>Đúng</v>
      </c>
    </row>
    <row r="57" ht="92" customHeight="1" s="27">
      <c r="A57" s="35" t="inlineStr">
        <is>
          <t>W2</t>
        </is>
      </c>
      <c r="B57" s="38" t="n">
        <v>2</v>
      </c>
      <c r="C57" s="41" t="inlineStr">
        <is>
          <t>wrong_intent</t>
        </is>
      </c>
      <c r="D57" s="44" t="inlineStr">
        <is>
          <t>Sửa phân loại: chưa rõ đơn/thao tác → Cần làm rõ; tra ra 2 đơn phải hỏi khách xác nhận mã trước khi tạo yêu cầu, không tự chọn MS-1188 (CS-5).</t>
        </is>
      </c>
      <c r="E57" s="48" t="n"/>
      <c r="F57" s="39" t="str">
        <f>IF(B57="","",IF(B57=2,"Đúng","Chưa đúng"))</f>
        <v>Đúng</v>
      </c>
      <c r="G57" s="39" t="str">
        <f>IF(C57="","",IF(C57="wrong_intent","Đúng","Chưa đúng"))</f>
        <v>Đúng</v>
      </c>
    </row>
    <row r="58" ht="92" customHeight="1" s="27">
      <c r="A58" s="35" t="inlineStr">
        <is>
          <t>W3</t>
        </is>
      </c>
      <c r="B58" s="38" t="n">
        <v>4</v>
      </c>
      <c r="C58" s="41" t="inlineStr">
        <is>
          <t>missing_escalation</t>
        </is>
      </c>
      <c r="D58" s="44" t="inlineStr">
        <is>
          <t>Ưu tiên nhánh CS-3/CS-6 khi có hàng lỗi hoặc yêu cầu gặp người: gọi chuyen_nhan_vien kèm lý do, không thay bằng hướng dẫn trả thường.</t>
        </is>
      </c>
      <c r="E58" s="48" t="n"/>
      <c r="F58" s="39" t="str">
        <f>IF(B58="","",IF(B58=4,"Đúng","Chưa đúng"))</f>
        <v>Đúng</v>
      </c>
      <c r="G58" s="39" t="str">
        <f>IF(C58="","",IF(C58="missing_escalation","Đúng","Chưa đúng"))</f>
        <v>Đúng</v>
      </c>
    </row>
    <row r="59"/>
    <row r="60" ht="18" customHeight="1" s="27">
      <c r="A60" s="49" t="inlineStr">
        <is>
          <t>X5 · 4 tiêu chí nhị phân (9 phút · 2 điểm)</t>
        </is>
      </c>
    </row>
    <row r="61" ht="18" customHeight="1" s="27">
      <c r="A61" s="31" t="inlineStr">
        <is>
          <t>Mỗi tiêu chí: tên, Đạt khi (điều kiện nhìn thấy được), 1 ví dụ Đạt sát ranh, 1 ví dụ Không đạt sát ranh, bộ chấm (theo căn cứ kiểm chứng), ngưỡng.</t>
        </is>
      </c>
    </row>
    <row r="62" ht="46" customHeight="1" s="27">
      <c r="A62" s="33" t="inlineStr">
        <is>
          <t>#</t>
        </is>
      </c>
      <c r="B62" s="33" t="inlineStr">
        <is>
          <t>Tên tiêu chí</t>
        </is>
      </c>
      <c r="C62" s="33" t="inlineStr">
        <is>
          <t>Đạt khi (điều kiện nhìn thấy được)</t>
        </is>
      </c>
      <c r="D62" s="33" t="inlineStr">
        <is>
          <t>Ví dụ ĐẠT sát ranh</t>
        </is>
      </c>
      <c r="E62" s="33" t="inlineStr">
        <is>
          <t>Ví dụ KHÔNG ĐẠT sát ranh</t>
        </is>
      </c>
      <c r="F62" s="33" t="inlineStr">
        <is>
          <t>Bộ chấm</t>
        </is>
      </c>
      <c r="G62" s="33" t="inlineStr">
        <is>
          <t>Ngưỡng</t>
        </is>
      </c>
    </row>
    <row r="63" ht="224" customHeight="1" s="27">
      <c r="A63" s="35" t="inlineStr">
        <is>
          <t>TC1</t>
        </is>
      </c>
      <c r="B63" s="41" t="inlineStr">
        <is>
          <t>Tra cứu trước khi tạo yêu cầu</t>
        </is>
      </c>
      <c r="C63" s="44" t="inlineStr">
        <is>
          <t>Mọi lời gọi tao_yeu_cau_doi_tra có tra_cuu_don thành công cho cùng mã ở trước, trả ngày nhận và trạng thái; ca chưa xác định được đơn không gọi tạo yêu cầu.</t>
        </is>
      </c>
      <c r="D63" s="44" t="inlineStr">
        <is>
          <t>Cùng ca đổi: tra_cuu_don(MS-1201) thành công → tao_yeu_cau_doi_tra(MS-1201, đổi).</t>
        </is>
      </c>
      <c r="E63" s="44" t="inlineStr">
        <is>
          <t>Cùng ca đổi: tao_yeu_cau_doi_tra(MS-1201, đổi) → tra_cuu_don(MS-1201); đúng công cụ nhưng đảo thứ tự.</t>
        </is>
      </c>
      <c r="F63" s="51" t="inlineStr">
        <is>
          <t>Mã lệnh</t>
        </is>
      </c>
      <c r="G63" s="51" t="inlineStr">
        <is>
          <t>≥95% ca áp dụng; mọi vi phạm đều phải sửa</t>
        </is>
      </c>
    </row>
    <row r="64" ht="224" customHeight="1" s="27">
      <c r="A64" s="35" t="inlineStr">
        <is>
          <t>TC2</t>
        </is>
      </c>
      <c r="B64" s="41" t="inlineStr">
        <is>
          <t>Không hứa vượt CS-1–CS-3</t>
        </is>
      </c>
      <c r="C64" s="44" t="inlineStr">
        <is>
          <t>Cam kết đổi thường chỉ khi ≤7 ngày và còn tem; trả thường chỉ khi ≤7 ngày, hoàn 3–5 ngày làm việc sau khi kho nhận. Thiếu dữ liệu thì chưa cam kết; hàng lỗi không tự hứa đền bù.</t>
        </is>
      </c>
      <c r="D64" s="44" t="inlineStr">
        <is>
          <t>Đã tra đơn nhận 5 ngày: 'Tiền hoàn trong 3–5 ngày làm việc sau khi kho nhận lại hàng.'</t>
        </is>
      </c>
      <c r="E64" s="44" t="inlineStr">
        <is>
          <t>Cùng ca: 'Tiền hoàn trong 3–5 ngày làm việc kể từ hôm nay.' Khác duy nhất mốc bắt đầu, kho chưa nhận.</t>
        </is>
      </c>
      <c r="F64" s="51" t="inlineStr">
        <is>
          <t>Giám khảo AI</t>
        </is>
      </c>
      <c r="G64" s="51" t="inlineStr">
        <is>
          <t>100%; chỉ dùng AI khi TPR,TNR ≥90%</t>
        </is>
      </c>
    </row>
    <row r="65" ht="224" customHeight="1" s="27">
      <c r="A65" s="35" t="inlineStr">
        <is>
          <t>TC3</t>
        </is>
      </c>
      <c r="B65" s="41" t="inlineStr">
        <is>
          <t>Ghi nhận cảm xúc trước xử lý</t>
        </is>
      </c>
      <c r="C65" s="44" t="inlineStr">
        <is>
          <t>Với tin bực bội/lo lắng/thất vọng, có câu thừa nhận cảm xúc hoặc sự bất tiện trước câu hướng dẫn/giải pháp; chỉ nhắc sự việc chưa tính. Tin trung tính không bắt buộc câu cảm xúc.</t>
        </is>
      </c>
      <c r="D65" s="44" t="inlineStr">
        <is>
          <t>Khách lo đơn chậm: 'Em hiểu chờ lâu khiến bạn lo lắng. Em sẽ tra đơn giúp bạn.'</t>
        </is>
      </c>
      <c r="E65" s="44" t="inlineStr">
        <is>
          <t>Cùng ca: 'Đơn của bạn đang chậm. Em sẽ tra đơn giúp bạn.' Chỉ nhắc sự việc, chưa ghi nhận cảm xúc.</t>
        </is>
      </c>
      <c r="F65" s="51" t="inlineStr">
        <is>
          <t>Giám khảo AI</t>
        </is>
      </c>
      <c r="G65" s="51" t="inlineStr">
        <is>
          <t>≥80% ca có cảm xúc; AI: TPR,TNR ≥85%</t>
        </is>
      </c>
    </row>
    <row r="66" ht="224" customHeight="1" s="27">
      <c r="A66" s="35" t="inlineStr">
        <is>
          <t>TC4</t>
        </is>
      </c>
      <c r="B66" s="41" t="inlineStr">
        <is>
          <t>Chuyển nhân viên khi bắt buộc</t>
        </is>
      </c>
      <c r="C66" s="44" t="inlineStr">
        <is>
          <t>Ca hàng lỗi hoặc yêu cầu gặp người có lời gọi chuyen_nhan_vien trong lượt xử lý, kèm lý do khớp khiếu nại/yêu cầu; chỉ nói sẽ chuyển nhưng không gọi công cụ là Không đạt (CS-3, CS-6).</t>
        </is>
      </c>
      <c r="D66" s="44" t="inlineStr">
        <is>
          <t>Khách báo rách: 'Em chuyển nhân viên xử lý áo rách.' + gọi chuyen_nhan_vien(lý do='áo rách').</t>
        </is>
      </c>
      <c r="E66" s="44" t="inlineStr">
        <is>
          <t>Cùng ca và cùng câu trả lời nhưng không có lời gọi chuyen_nhan_vien trong vết thực thi.</t>
        </is>
      </c>
      <c r="F66" s="52" t="inlineStr">
        <is>
          <t>Mã lệnh (lời gọi công cụ) + người kiểm mẫu 10%</t>
        </is>
      </c>
      <c r="G66" s="51" t="inlineStr">
        <is>
          <t>≥90% ca cần chuyển; không bỏ qua ca lỗi</t>
        </is>
      </c>
    </row>
    <row r="67" ht="33" customHeight="1" s="27">
      <c r="B67" s="35" t="inlineStr">
        <is>
          <t>Kiểm tra</t>
        </is>
      </c>
      <c r="C67" s="39"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36" t="inlineStr">
        <is>
          <t>Từ bị coi là mơ hồ: tốt, hợp lý, phù hợp, đầy đủ, chính xác, hài lòng, thân thiện. Bộ chấm chọn theo căn cứ kiểm chứng (trang 41).</t>
        </is>
      </c>
    </row>
    <row r="68"/>
    <row r="69" ht="18" customHeight="1" s="27">
      <c r="A69" s="49" t="inlineStr">
        <is>
          <t>X6 · Hiệu chỉnh giám khảo (4 phút · 1 điểm)</t>
        </is>
      </c>
    </row>
    <row r="70" ht="18" customHeight="1" s="27">
      <c r="A70" s="31" t="inlineStr">
        <is>
          <t>Tiêu chí "Không hứa vượt chính sách", 20 tin, ngưỡng 90% cho cả TPR và TNR. Đếm 4 ô, file tự tính TPR, TNR. Chọn kết luận.</t>
        </is>
      </c>
    </row>
    <row r="71" ht="18" customHeight="1" s="27">
      <c r="A71" s="33" t="inlineStr">
        <is>
          <t>Tin</t>
        </is>
      </c>
      <c r="B71" s="33" t="inlineStr">
        <is>
          <t>Chuyên gia</t>
        </is>
      </c>
      <c r="C71" s="33" t="inlineStr">
        <is>
          <t>Giám khảo AI</t>
        </is>
      </c>
      <c r="D71" s="33" t="inlineStr">
        <is>
          <t>Đếm 4 ô</t>
        </is>
      </c>
      <c r="E71" s="37" t="n"/>
      <c r="F71" s="33" t="inlineStr">
        <is>
          <t>Số tin</t>
        </is>
      </c>
      <c r="G71" s="33" t="inlineStr">
        <is>
          <t>Kiểm tra</t>
        </is>
      </c>
    </row>
    <row r="72" ht="31.5" customHeight="1" s="27">
      <c r="A72" s="34" t="inlineStr">
        <is>
          <t>1</t>
        </is>
      </c>
      <c r="B72" s="34" t="inlineStr">
        <is>
          <t>Đ</t>
        </is>
      </c>
      <c r="C72" s="34" t="inlineStr">
        <is>
          <t>Đ</t>
        </is>
      </c>
      <c r="D72" s="34" t="inlineStr">
        <is>
          <t>Cả hai Đạt</t>
        </is>
      </c>
      <c r="E72" s="37" t="n"/>
      <c r="F72" s="38" t="n">
        <v>12</v>
      </c>
      <c r="G72" s="39" t="str">
        <f>IF(F72="","",IF(F72=12,"Đúng","Chưa đúng"))</f>
        <v>Đúng</v>
      </c>
    </row>
    <row r="73" ht="31.5" customHeight="1" s="27">
      <c r="A73" s="34" t="inlineStr">
        <is>
          <t>2</t>
        </is>
      </c>
      <c r="B73" s="34" t="inlineStr">
        <is>
          <t>Đ</t>
        </is>
      </c>
      <c r="C73" s="34" t="inlineStr">
        <is>
          <t>K</t>
        </is>
      </c>
      <c r="D73" s="34" t="inlineStr">
        <is>
          <t>Chuyên gia Đạt, giám khảo Không đạt (chặn nhầm)</t>
        </is>
      </c>
      <c r="E73" s="37" t="n"/>
      <c r="F73" s="38" t="n">
        <v>2</v>
      </c>
      <c r="G73" s="39" t="str">
        <f>IF(F73="","",IF(F73=2,"Đúng","Chưa đúng"))</f>
        <v>Đúng</v>
      </c>
    </row>
    <row r="74" ht="31.5" customHeight="1" s="27">
      <c r="A74" s="34" t="inlineStr">
        <is>
          <t>3</t>
        </is>
      </c>
      <c r="B74" s="34" t="inlineStr">
        <is>
          <t>Đ</t>
        </is>
      </c>
      <c r="C74" s="34" t="inlineStr">
        <is>
          <t>Đ</t>
        </is>
      </c>
      <c r="D74" s="34" t="inlineStr">
        <is>
          <t>Chuyên gia Không đạt, giám khảo Đạt (cho qua lỗi)</t>
        </is>
      </c>
      <c r="E74" s="37" t="n"/>
      <c r="F74" s="38" t="n">
        <v>0</v>
      </c>
      <c r="G74" s="39" t="str">
        <f>IF(F74="","",IF(F74=0,"Đúng","Chưa đúng"))</f>
        <v>Đúng</v>
      </c>
    </row>
    <row r="75" ht="31.5" customHeight="1" s="27">
      <c r="A75" s="34" t="inlineStr">
        <is>
          <t>4</t>
        </is>
      </c>
      <c r="B75" s="34" t="inlineStr">
        <is>
          <t>K</t>
        </is>
      </c>
      <c r="C75" s="34" t="inlineStr">
        <is>
          <t>K</t>
        </is>
      </c>
      <c r="D75" s="34" t="inlineStr">
        <is>
          <t>Cả hai Không đạt</t>
        </is>
      </c>
      <c r="E75" s="37" t="n"/>
      <c r="F75" s="38" t="n">
        <v>6</v>
      </c>
      <c r="G75" s="39" t="str">
        <f>IF(F75="","",IF(F75=6,"Đúng","Chưa đúng"))</f>
        <v>Đúng</v>
      </c>
    </row>
    <row r="76" ht="18" customHeight="1" s="27">
      <c r="A76" s="34" t="inlineStr">
        <is>
          <t>5</t>
        </is>
      </c>
      <c r="B76" s="34" t="inlineStr">
        <is>
          <t>Đ</t>
        </is>
      </c>
      <c r="C76" s="34" t="inlineStr">
        <is>
          <t>Đ</t>
        </is>
      </c>
      <c r="D76" s="35" t="inlineStr">
        <is>
          <t>TPR = cả hai Đạt ÷ chuyên gia Đạt (tự tính)</t>
        </is>
      </c>
      <c r="E76" s="37" t="n"/>
      <c r="F76" s="53" t="n">
        <f>IF(OR(F72="",F73=""),"",F72/(F72+F73))</f>
        <v>0.8571428571428571</v>
      </c>
      <c r="G76" s="39" t="str">
        <f>IF(F76="","",IF(F76&gt;=0.9,"Đạt ngưỡng","Dưới ngưỡng"))</f>
        <v>Dưới ngưỡng</v>
      </c>
    </row>
    <row r="77" ht="18" customHeight="1" s="27">
      <c r="A77" s="34" t="inlineStr">
        <is>
          <t>6</t>
        </is>
      </c>
      <c r="B77" s="34" t="inlineStr">
        <is>
          <t>Đ</t>
        </is>
      </c>
      <c r="C77" s="34" t="inlineStr">
        <is>
          <t>Đ</t>
        </is>
      </c>
      <c r="D77" s="35" t="inlineStr">
        <is>
          <t>TNR = cả hai Không đạt ÷ chuyên gia Không đạt (tự tính)</t>
        </is>
      </c>
      <c r="E77" s="37" t="n"/>
      <c r="F77" s="53" t="n">
        <f>IF(OR(F74="",F75=""),"",F75/(F74+F75))</f>
        <v>1.0</v>
      </c>
      <c r="G77" s="39" t="str">
        <f>IF(F77="","",IF(F77&gt;=0.9,"Đạt ngưỡng","Dưới ngưỡng"))</f>
        <v>Đạt ngưỡng</v>
      </c>
    </row>
    <row r="78" ht="18" customHeight="1" s="27">
      <c r="A78" s="34" t="inlineStr">
        <is>
          <t>7</t>
        </is>
      </c>
      <c r="B78" s="34" t="inlineStr">
        <is>
          <t>K</t>
        </is>
      </c>
      <c r="C78" s="34" t="inlineStr">
        <is>
          <t>K</t>
        </is>
      </c>
      <c r="D78" s="34" t="inlineStr">
        <is>
          <t>Ngưỡng chốt trước (tiêu chí rủi ro cao)</t>
        </is>
      </c>
      <c r="E78" s="37" t="n"/>
      <c r="F78" s="54" t="n">
        <v>0.9</v>
      </c>
    </row>
    <row r="79" ht="18" customHeight="1" s="27">
      <c r="A79" s="34" t="inlineStr">
        <is>
          <t>8</t>
        </is>
      </c>
      <c r="B79" s="34" t="inlineStr">
        <is>
          <t>Đ</t>
        </is>
      </c>
      <c r="C79" s="34" t="inlineStr">
        <is>
          <t>Đ</t>
        </is>
      </c>
      <c r="D79" s="34" t="inlineStr">
        <is>
          <t>Tổng 4 ô phải bằng 20</t>
        </is>
      </c>
      <c r="E79" s="37" t="n"/>
      <c r="F79" s="50" t="n">
        <f>SUM(F72:F75)</f>
        <v>20</v>
      </c>
    </row>
    <row r="80" ht="18" customHeight="1" s="27">
      <c r="A80" s="34" t="inlineStr">
        <is>
          <t>9</t>
        </is>
      </c>
      <c r="B80" s="34" t="inlineStr">
        <is>
          <t>Đ</t>
        </is>
      </c>
      <c r="C80" s="34" t="inlineStr">
        <is>
          <t>Đ</t>
        </is>
      </c>
    </row>
    <row r="81" ht="31.5" customHeight="1" s="27">
      <c r="A81" s="34" t="inlineStr">
        <is>
          <t>10</t>
        </is>
      </c>
      <c r="B81" s="34" t="inlineStr">
        <is>
          <t>Đ</t>
        </is>
      </c>
      <c r="C81" s="34" t="inlineStr">
        <is>
          <t>K</t>
        </is>
      </c>
      <c r="D81" s="34" t="inlineStr">
        <is>
          <t>A. Đạt cả hai ngưỡng, đưa giám khảo vào dùng.</t>
        </is>
      </c>
      <c r="E81" s="43" t="n"/>
      <c r="F81" s="43" t="n"/>
      <c r="G81" s="37" t="n"/>
    </row>
    <row r="82" ht="33" customHeight="1" s="27">
      <c r="A82" s="34" t="inlineStr">
        <is>
          <t>11</t>
        </is>
      </c>
      <c r="B82" s="34" t="inlineStr">
        <is>
          <t>Đ</t>
        </is>
      </c>
      <c r="C82" s="34" t="inlineStr">
        <is>
          <t>Đ</t>
        </is>
      </c>
      <c r="D82" s="34" t="inlineStr">
        <is>
          <t>B. Chưa đạt vì TPR thấp (chặn nhầm ca tốt): thêm ví dụ Đạt sát ranh và mục "không bắt buộc", chấm lại.</t>
        </is>
      </c>
      <c r="E82" s="43" t="n"/>
      <c r="F82" s="43" t="n"/>
      <c r="G82" s="37" t="n"/>
    </row>
    <row r="83" ht="31.5" customHeight="1" s="27">
      <c r="A83" s="34" t="inlineStr">
        <is>
          <t>12</t>
        </is>
      </c>
      <c r="B83" s="34" t="inlineStr">
        <is>
          <t>K</t>
        </is>
      </c>
      <c r="C83" s="34" t="inlineStr">
        <is>
          <t>K</t>
        </is>
      </c>
      <c r="D83" s="34" t="inlineStr">
        <is>
          <t>C. Chưa đạt vì TNR thấp (cho qua lỗi): siết định nghĩa Không đạt, thêm ví dụ trượt sát ranh.</t>
        </is>
      </c>
      <c r="E83" s="43" t="n"/>
      <c r="F83" s="43" t="n"/>
      <c r="G83" s="37" t="n"/>
    </row>
    <row r="84" ht="18" customHeight="1" s="27">
      <c r="A84" s="34" t="inlineStr">
        <is>
          <t>13</t>
        </is>
      </c>
      <c r="B84" s="34" t="inlineStr">
        <is>
          <t>Đ</t>
        </is>
      </c>
      <c r="C84" s="34" t="inlineStr">
        <is>
          <t>Đ</t>
        </is>
      </c>
      <c r="D84" s="35" t="inlineStr">
        <is>
          <t>Kết luận (chọn A, B hoặc C)</t>
        </is>
      </c>
      <c r="E84" s="37" t="n"/>
      <c r="F84" s="41" t="inlineStr">
        <is>
          <t>B</t>
        </is>
      </c>
      <c r="G84" s="39" t="str">
        <f>IF(F84="","",IF(F84="B","Đúng","Chưa đúng"))</f>
        <v>Đúng</v>
      </c>
    </row>
    <row r="85" ht="18" customHeight="1" s="27">
      <c r="A85" s="34" t="inlineStr">
        <is>
          <t>14</t>
        </is>
      </c>
      <c r="B85" s="34" t="inlineStr">
        <is>
          <t>Đ</t>
        </is>
      </c>
      <c r="C85" s="34" t="inlineStr">
        <is>
          <t>Đ</t>
        </is>
      </c>
    </row>
    <row r="86" ht="18" customHeight="1" s="27">
      <c r="A86" s="34" t="inlineStr">
        <is>
          <t>15</t>
        </is>
      </c>
      <c r="B86" s="34" t="inlineStr">
        <is>
          <t>K</t>
        </is>
      </c>
      <c r="C86" s="34" t="inlineStr">
        <is>
          <t>K</t>
        </is>
      </c>
    </row>
    <row r="87" ht="18" customHeight="1" s="27">
      <c r="A87" s="34" t="inlineStr">
        <is>
          <t>16</t>
        </is>
      </c>
      <c r="B87" s="34" t="inlineStr">
        <is>
          <t>Đ</t>
        </is>
      </c>
      <c r="C87" s="34" t="inlineStr">
        <is>
          <t>Đ</t>
        </is>
      </c>
    </row>
    <row r="88" ht="18" customHeight="1" s="27">
      <c r="A88" s="34" t="inlineStr">
        <is>
          <t>17</t>
        </is>
      </c>
      <c r="B88" s="34" t="inlineStr">
        <is>
          <t>K</t>
        </is>
      </c>
      <c r="C88" s="34" t="inlineStr">
        <is>
          <t>K</t>
        </is>
      </c>
    </row>
    <row r="89" ht="18" customHeight="1" s="27">
      <c r="A89" s="34" t="inlineStr">
        <is>
          <t>18</t>
        </is>
      </c>
      <c r="B89" s="34" t="inlineStr">
        <is>
          <t>Đ</t>
        </is>
      </c>
      <c r="C89" s="34" t="inlineStr">
        <is>
          <t>Đ</t>
        </is>
      </c>
    </row>
    <row r="90" ht="18" customHeight="1" s="27">
      <c r="A90" s="34" t="inlineStr">
        <is>
          <t>19</t>
        </is>
      </c>
      <c r="B90" s="34" t="inlineStr">
        <is>
          <t>K</t>
        </is>
      </c>
      <c r="C90" s="34" t="inlineStr">
        <is>
          <t>K</t>
        </is>
      </c>
    </row>
    <row r="91" ht="18" customHeight="1" s="27">
      <c r="A91" s="34" t="inlineStr">
        <is>
          <t>20</t>
        </is>
      </c>
      <c r="B91" s="34" t="inlineStr">
        <is>
          <t>Đ</t>
        </is>
      </c>
      <c r="C91" s="34" t="inlineStr">
        <is>
          <t>Đ</t>
        </is>
      </c>
    </row>
    <row r="92"/>
    <row r="93"/>
    <row r="94" ht="18" customHeight="1" s="27">
      <c r="A94" s="49" t="inlineStr">
        <is>
          <t>X7 · Kết luận có răng (4 phút · 1,5 điểm)</t>
        </is>
      </c>
    </row>
    <row r="95" ht="18" customHeight="1" s="27">
      <c r="A95" s="31" t="inlineStr">
        <is>
          <t>Đọc báo cáo v1.3 / v1.4, chọn Phát hành, Lặp tiếp hay Quay về; viết kế hoạch đi kèm. Trả lời 3 câu về 2 giờ chấm của chuyên gia.</t>
        </is>
      </c>
    </row>
    <row r="96" ht="18" customHeight="1" s="27">
      <c r="A96" s="33" t="inlineStr">
        <is>
          <t>Tiêu chí</t>
        </is>
      </c>
      <c r="B96" s="37" t="n"/>
      <c r="C96" s="33" t="inlineStr">
        <is>
          <t>Bộ chấm</t>
        </is>
      </c>
      <c r="D96" s="33" t="inlineStr">
        <is>
          <t>Ngưỡng</t>
        </is>
      </c>
      <c r="E96" s="33" t="inlineStr">
        <is>
          <t>v1.3</t>
        </is>
      </c>
      <c r="F96" s="33" t="inlineStr">
        <is>
          <t>v1.4</t>
        </is>
      </c>
    </row>
    <row r="97" ht="34" customHeight="1" s="27">
      <c r="A97" s="34" t="inlineStr">
        <is>
          <t>Nhãn ý định đúng</t>
        </is>
      </c>
      <c r="B97" s="37" t="n"/>
      <c r="C97" s="34" t="inlineStr">
        <is>
          <t>Mã lệnh</t>
        </is>
      </c>
      <c r="D97" s="34" t="inlineStr">
        <is>
          <t>≥ 90%</t>
        </is>
      </c>
      <c r="E97" s="34" t="inlineStr">
        <is>
          <t>90%</t>
        </is>
      </c>
      <c r="F97" s="34" t="inlineStr">
        <is>
          <t>94%</t>
        </is>
      </c>
    </row>
    <row r="98" ht="34" customHeight="1" s="27">
      <c r="A98" s="34" t="inlineStr">
        <is>
          <t>Không bịa mã đơn</t>
        </is>
      </c>
      <c r="B98" s="37" t="n"/>
      <c r="C98" s="34" t="inlineStr">
        <is>
          <t>Mã lệnh</t>
        </is>
      </c>
      <c r="D98" s="34" t="inlineStr">
        <is>
          <t>100%</t>
        </is>
      </c>
      <c r="E98" s="34" t="inlineStr">
        <is>
          <t>100%</t>
        </is>
      </c>
      <c r="F98" s="34" t="inlineStr">
        <is>
          <t>100%</t>
        </is>
      </c>
    </row>
    <row r="99" ht="34" customHeight="1" s="27">
      <c r="A99" s="34" t="inlineStr">
        <is>
          <t>Tra cứu trước khi hứa</t>
        </is>
      </c>
      <c r="B99" s="37" t="n"/>
      <c r="C99" s="34" t="inlineStr">
        <is>
          <t>Mã lệnh</t>
        </is>
      </c>
      <c r="D99" s="34" t="inlineStr">
        <is>
          <t>≥ 95%</t>
        </is>
      </c>
      <c r="E99" s="34" t="inlineStr">
        <is>
          <t>92%</t>
        </is>
      </c>
      <c r="F99" s="34" t="inlineStr">
        <is>
          <t>98%</t>
        </is>
      </c>
    </row>
    <row r="100" ht="34" customHeight="1" s="27">
      <c r="A100" s="34" t="inlineStr">
        <is>
          <t>Ghi nhận cảm xúc khách</t>
        </is>
      </c>
      <c r="B100" s="37" t="n"/>
      <c r="C100" s="34" t="inlineStr">
        <is>
          <t>Giám khảo AI đã hiệu chỉnh</t>
        </is>
      </c>
      <c r="D100" s="34" t="inlineStr">
        <is>
          <t>≥ 80%</t>
        </is>
      </c>
      <c r="E100" s="34" t="inlineStr">
        <is>
          <t>84%</t>
        </is>
      </c>
      <c r="F100" s="34" t="inlineStr">
        <is>
          <t>82%</t>
        </is>
      </c>
    </row>
    <row r="101" ht="34" customHeight="1" s="27">
      <c r="A101" s="34" t="inlineStr">
        <is>
          <t>Chuyển nhân viên đúng lúc</t>
        </is>
      </c>
      <c r="B101" s="37" t="n"/>
      <c r="C101" s="34" t="inlineStr">
        <is>
          <t>Người (chuyên gia chấm cả 50 tin)</t>
        </is>
      </c>
      <c r="D101" s="34" t="inlineStr">
        <is>
          <t>≥ 90%</t>
        </is>
      </c>
      <c r="E101" s="34" t="inlineStr">
        <is>
          <t>88%</t>
        </is>
      </c>
      <c r="F101" s="34" t="inlineStr">
        <is>
          <t>92%</t>
        </is>
      </c>
    </row>
    <row r="102" ht="34" customHeight="1" s="27">
      <c r="A102" s="34" t="inlineStr">
        <is>
          <t>Thời gian phản hồi (trung vị)</t>
        </is>
      </c>
      <c r="B102" s="37" t="n"/>
      <c r="C102" s="34" t="inlineStr">
        <is>
          <t>Mã lệnh</t>
        </is>
      </c>
      <c r="D102" s="34" t="inlineStr">
        <is>
          <t>&lt; 2 giây</t>
        </is>
      </c>
      <c r="E102" s="34" t="inlineStr">
        <is>
          <t>1,4 giây</t>
        </is>
      </c>
      <c r="F102" s="34" t="inlineStr">
        <is>
          <t>1,7 giây</t>
        </is>
      </c>
    </row>
    <row r="103" ht="18" customHeight="1" s="27">
      <c r="A103" s="36" t="inlineStr">
        <is>
          <t>Bộ đề 50 tin; ngưỡng chốt trước khi chạy. Quy tắc phát hành (trang 50): mọi tiêu chí đạt ngưỡng và không tiêu chí nào tụt quá 2 điểm so với bản cũ.</t>
        </is>
      </c>
    </row>
    <row r="104"/>
    <row r="105" ht="18" customHeight="1" s="27">
      <c r="A105" s="35" t="inlineStr">
        <is>
          <t>Kết luận</t>
        </is>
      </c>
      <c r="B105" s="37" t="n"/>
      <c r="C105" s="41" t="inlineStr">
        <is>
          <t>Phát hành</t>
        </is>
      </c>
      <c r="D105" s="39" t="str">
        <f>IF(C105="","",IF(C105="Phát hành","Đúng","Chưa đúng"))</f>
        <v>Đúng</v>
      </c>
    </row>
    <row r="106" ht="285" customHeight="1" s="27">
      <c r="A106" s="35" t="inlineStr">
        <is>
          <t>Kế hoạch đi kèm</t>
        </is>
      </c>
      <c r="B106" s="37" t="n"/>
      <c r="C106" s="44" t="inlineStr">
        <is>
          <t>Phát hành v1.4 theo báo cáo X7: mọi ngưỡng đều đạt; cảm xúc 84%→82% giảm đúng 2 điểm, vẫn qua cổng.
Lấy mẫu phân tầng 10% tin thật/ngày (khoảng 30/300), phủ ý định và ca lỗi; lưu tin, đầu ra, vết công cụ, thời gian và nhãn chuyên gia.
Ba tín hiệu: (1) Đầu vào: tỷ trọng một ý định/Cần làm rõ tăng ≥10 điểm phần trăm ở cửa sổ 3 ngày so với 7 ngày trước. (2) Chất lượng: cảnh báo khi mẫu gộp ≥50 ca có nhãn &lt;90%, không bịa &lt;100%, tra cứu &lt;95%, cảm xúc &lt;80% hoặc chuyển người &lt;90%; cũng cảnh báo nếu tiêu chí tỷ lệ giảm &gt;2 điểm so với v1.4 trên cùng bộ 50 ca. (3) Hiệu năng: trung vị phản hồi ≥2,0 giây trong ngày, đo từ toàn bộ log.
Chị Ngân xem mẫu và bất đồng lúc 17:00 hằng ngày; kỹ thuật trực xem cảnh báo ngay, nhóm rà soát xu hướng và chạy lại bộ chống tái phát mỗi tuần. Gặp 1 ca bịa mã/hứa vượt CS/bỏ chuyển người bắt buộc: ngắt tự động luồng liên quan, chuyển nhân viên, sửa và chạy lại trước khi bật. Giám khảo chưa qua hiệu chỉnh như X6 phải dùng chuyên gia thay thế.</t>
        </is>
      </c>
      <c r="D106" s="47" t="n"/>
      <c r="E106" s="47" t="n"/>
      <c r="F106" s="47" t="n"/>
      <c r="G106" s="48" t="n"/>
    </row>
    <row r="107" ht="18" customHeight="1" s="27">
      <c r="C107" s="36" t="inlineStr">
        <is>
          <t>Kế hoạch phải có: lấy mẫu bao nhiêu % tin thật để chấm tiếp, 3 tín hiệu trôi cần nhìn, ngưỡng cảnh báo bằng số, ai xem và bao lâu một lần.</t>
        </is>
      </c>
    </row>
    <row r="108"/>
    <row r="109" ht="18" customHeight="1" s="27">
      <c r="A109" s="31" t="inlineStr">
        <is>
          <t>Chuyên gia bỏ 2 giờ chấm 200 ca: 150 Đạt. Giám khảo AI chấm cùng 200 ca, khớp với chuyên gia ở 168 ca (trang 64).</t>
        </is>
      </c>
    </row>
    <row r="110" ht="18" customHeight="1" s="27">
      <c r="A110" s="35" t="inlineStr">
        <is>
          <t>Tỷ lệ đạt nền của hệ thống (gõ kèm %)</t>
        </is>
      </c>
      <c r="B110" s="37" t="n"/>
      <c r="C110" s="40" t="n">
        <v>0.75</v>
      </c>
      <c r="D110" s="39" t="str">
        <f>IF(C110="","",IF(ISNUMBER(C110),IF(OR(ABS(C110-0.75)&lt;=0.006,ABS(C110-75)&lt;=0.6),"Đúng","Chưa đúng"),"Gõ một số"))</f>
        <v>Đúng</v>
      </c>
    </row>
    <row r="111" ht="18" customHeight="1" s="27">
      <c r="A111" s="35" t="inlineStr">
        <is>
          <t>Số ca đưa vào bộ chống tái phát</t>
        </is>
      </c>
      <c r="B111" s="37" t="n"/>
      <c r="C111" s="38" t="n">
        <v>50</v>
      </c>
      <c r="D111" s="39" t="str">
        <f>IF(C111="","",IF(ISNUMBER(C111),IF(ABS(C111-50)&lt;=0.01,"Đúng","Chưa đúng"),"Gõ một số"))</f>
        <v>Đúng</v>
      </c>
    </row>
    <row r="112" ht="33" customHeight="1" s="27">
      <c r="A112" s="35" t="inlineStr">
        <is>
          <t>Tỷ lệ khớp của giám khảo với chuyên gia (gõ kèm %)</t>
        </is>
      </c>
      <c r="B112" s="37" t="n"/>
      <c r="C112" s="40" t="n">
        <v>0.84</v>
      </c>
      <c r="D112" s="39" t="str">
        <f>IF(C112="","",IF(ISNUMBER(C112),IF(OR(ABS(C112-0.84)&lt;=0.006,ABS(C112-84)&lt;=0.6),"Đúng","Chưa đúng"),"Gõ một số"))</f>
        <v>Đúng</v>
      </c>
    </row>
  </sheetData>
  <sheetProtection selectLockedCells="0" selectUnlockedCells="0" sheet="1" objects="0" insertRows="1" insertHyperlinks="1" autoFilter="1" scenarios="0" formatColumns="1" deleteColumns="1" insertColumns="1" pivotTables="1" deleteRows="1" formatCells="1" formatRows="1" sort="1" password="c716"/>
  <mergeCells count="86">
    <mergeCell ref="A15:B15"/>
    <mergeCell ref="A98:B98"/>
    <mergeCell ref="A22:G22"/>
    <mergeCell ref="A109:G109"/>
    <mergeCell ref="D84:E84"/>
    <mergeCell ref="D82:G82"/>
    <mergeCell ref="D77:E77"/>
    <mergeCell ref="A7:B7"/>
    <mergeCell ref="A9:G9"/>
    <mergeCell ref="A39:G39"/>
    <mergeCell ref="A99:B99"/>
    <mergeCell ref="A103:G103"/>
    <mergeCell ref="A101:B101"/>
    <mergeCell ref="D72:E72"/>
    <mergeCell ref="D78:E78"/>
    <mergeCell ref="B45:G45"/>
    <mergeCell ref="C27:D27"/>
    <mergeCell ref="D13:G13"/>
    <mergeCell ref="A17:B17"/>
    <mergeCell ref="D56:E56"/>
    <mergeCell ref="D71:E71"/>
    <mergeCell ref="B47:G47"/>
    <mergeCell ref="A19:B19"/>
    <mergeCell ref="D73:E73"/>
    <mergeCell ref="C28:D28"/>
    <mergeCell ref="A111:B111"/>
    <mergeCell ref="A23:G23"/>
    <mergeCell ref="C30:D30"/>
    <mergeCell ref="A10:G10"/>
    <mergeCell ref="D76:E76"/>
    <mergeCell ref="B49:G49"/>
    <mergeCell ref="D75:E75"/>
    <mergeCell ref="A105:B105"/>
    <mergeCell ref="B51:G51"/>
    <mergeCell ref="A94:G94"/>
    <mergeCell ref="A69:G69"/>
    <mergeCell ref="B41:G41"/>
    <mergeCell ref="B50:G50"/>
    <mergeCell ref="D11:G11"/>
    <mergeCell ref="A100:B100"/>
    <mergeCell ref="C106:G106"/>
    <mergeCell ref="A95:G95"/>
    <mergeCell ref="A102:B102"/>
    <mergeCell ref="D79:E79"/>
    <mergeCell ref="A5:G5"/>
    <mergeCell ref="A38:G38"/>
    <mergeCell ref="C29:D29"/>
    <mergeCell ref="B40:G40"/>
    <mergeCell ref="A60:G60"/>
    <mergeCell ref="C31:D31"/>
    <mergeCell ref="D81:G81"/>
    <mergeCell ref="A3:B3"/>
    <mergeCell ref="A6:G6"/>
    <mergeCell ref="A106:B106"/>
    <mergeCell ref="A96:B96"/>
    <mergeCell ref="C32:D32"/>
    <mergeCell ref="D55:E55"/>
    <mergeCell ref="A2:G2"/>
    <mergeCell ref="B43:G43"/>
    <mergeCell ref="B52:G52"/>
    <mergeCell ref="B42:G42"/>
    <mergeCell ref="C24:D24"/>
    <mergeCell ref="D12:G12"/>
    <mergeCell ref="D83:G83"/>
    <mergeCell ref="C7:F7"/>
    <mergeCell ref="C107:G107"/>
    <mergeCell ref="D67:G67"/>
    <mergeCell ref="A110:B110"/>
    <mergeCell ref="B44:G44"/>
    <mergeCell ref="C26:D26"/>
    <mergeCell ref="B53:G53"/>
    <mergeCell ref="D14:G14"/>
    <mergeCell ref="A16:B16"/>
    <mergeCell ref="C25:D25"/>
    <mergeCell ref="D57:E57"/>
    <mergeCell ref="A18:B18"/>
    <mergeCell ref="A61:G61"/>
    <mergeCell ref="A70:G70"/>
    <mergeCell ref="D58:E58"/>
    <mergeCell ref="A97:B97"/>
    <mergeCell ref="A20:B20"/>
    <mergeCell ref="D74:E74"/>
    <mergeCell ref="B46:G46"/>
    <mergeCell ref="A112:B112"/>
    <mergeCell ref="B48:G48"/>
    <mergeCell ref="C3:G3"/>
  </mergeCells>
  <dataValidations count="5">
    <dataValidation sqref="E25:E32" showDropDown="0" showInputMessage="0" showErrorMessage="0" allowBlank="1" type="list" errorStyle="stop" operator="between">
      <formula1>_ds!$E$1:$E$3</formula1>
      <formula2>0</formula2>
    </dataValidation>
    <dataValidation sqref="C56:C58" showDropDown="0" showInputMessage="0" showErrorMessage="0" allowBlank="1" type="list" errorStyle="stop" operator="between">
      <formula1>_ds!$F$1:$F$5</formula1>
      <formula2>0</formula2>
    </dataValidation>
    <dataValidation sqref="F63:F66" showDropDown="0" showInputMessage="0" showErrorMessage="0" allowBlank="1" type="list" errorStyle="stop" operator="between">
      <formula1>_ds!$N$1:$N$4</formula1>
      <formula2>0</formula2>
    </dataValidation>
    <dataValidation sqref="F84" showDropDown="0" showInputMessage="0" showErrorMessage="0" allowBlank="1" type="list" errorStyle="stop" operator="between">
      <formula1>_ds!$B$1:$B$3</formula1>
      <formula2>0</formula2>
    </dataValidation>
    <dataValidation sqref="C105" showDropDown="0" showInputMessage="0" showErrorMessage="0" allowBlank="1" type="list" errorStyle="stop" operator="between">
      <formula1>_ds!$J$1:$J$3</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1"/>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6" min="1" max="1"/>
    <col width="9" customWidth="1" style="26" min="2" max="2"/>
    <col width="44" customWidth="1" style="26" min="3" max="3"/>
    <col width="38" customWidth="1" style="26" min="4" max="4"/>
    <col width="34" customWidth="1" style="26" min="5" max="5"/>
    <col width="12" customWidth="1" style="26" min="6" max="6"/>
  </cols>
  <sheetData>
    <row r="1" ht="17.35" customHeight="1" s="27">
      <c r="A1" s="28" t="inlineStr">
        <is>
          <t>Thang điểm Xưởng (10 điểm) · trợ giảng ghi phần máy chấm, giảng viên chấm phần viết</t>
        </is>
      </c>
    </row>
    <row r="2" ht="18" customHeight="1" s="27">
      <c r="A2" s="29" t="inlineStr">
        <is>
          <t>Chấm theo mô tả; điểm lẻ 0,25 khi bài nằm giữa hai mức. Cột "Tự kiểm tra" lấy từ trang Xưởng: chỉ để tham khảo, không thay cho việc đọc bài.</t>
        </is>
      </c>
    </row>
    <row r="3"/>
    <row r="4" ht="18" customHeight="1" s="27">
      <c r="A4" s="33" t="inlineStr">
        <is>
          <t>Phần</t>
        </is>
      </c>
      <c r="B4" s="33" t="inlineStr">
        <is>
          <t>Tối đa</t>
        </is>
      </c>
      <c r="C4" s="33" t="inlineStr">
        <is>
          <t>Đủ điểm</t>
        </is>
      </c>
      <c r="D4" s="33" t="inlineStr">
        <is>
          <t>Một nửa</t>
        </is>
      </c>
      <c r="E4" s="33" t="inlineStr">
        <is>
          <t>Không điểm</t>
        </is>
      </c>
      <c r="F4" s="33" t="inlineStr">
        <is>
          <t>Điểm chấm</t>
        </is>
      </c>
    </row>
    <row r="5" ht="33" customHeight="1" s="27">
      <c r="A5" s="35" t="inlineStr">
        <is>
          <t>X1</t>
        </is>
      </c>
      <c r="B5" s="55" t="n">
        <v>1</v>
      </c>
      <c r="C5" s="34" t="inlineStr">
        <is>
          <t>Có đủ đầu vào, đầu ra kiểm được và ràng buộc bằng số; nói rõ ca nào chuyển người</t>
        </is>
      </c>
      <c r="D5" s="34" t="inlineStr">
        <is>
          <t>Có câu nhưng thiếu ràng buộc hoặc đầu ra không kiểm được</t>
        </is>
      </c>
      <c r="E5" s="34" t="inlineStr">
        <is>
          <t>Mục tiêu chung chung ("trả lời tốt hơn")</t>
        </is>
      </c>
      <c r="F5" s="56" t="n"/>
    </row>
    <row r="6" ht="33" customHeight="1" s="27">
      <c r="A6" s="35" t="inlineStr">
        <is>
          <t>X2</t>
        </is>
      </c>
      <c r="B6" s="55" t="n">
        <v>1</v>
      </c>
      <c r="C6" s="34" t="inlineStr">
        <is>
          <t>3 chiều đều qua phép thử, ghi rõ hành vi đổi thế nào; số đầu vào 40–50</t>
        </is>
      </c>
      <c r="D6" s="34" t="inlineStr">
        <is>
          <t>2 chiều qua phép thử hoặc số đầu vào ngoài khoảng</t>
        </is>
      </c>
      <c r="E6" s="34" t="inlineStr">
        <is>
          <t>Chọn thuộc tính chỉ là cách diễn đạt (lịch sự, độ dài)</t>
        </is>
      </c>
      <c r="F6" s="56" t="n"/>
    </row>
    <row r="7" ht="33" customHeight="1" s="27">
      <c r="A7" s="35" t="inlineStr">
        <is>
          <t>X3</t>
        </is>
      </c>
      <c r="B7" s="55" t="n">
        <v>2</v>
      </c>
      <c r="C7" s="34" t="inlineStr">
        <is>
          <t>8 tình huống, đủ 3 loại, ≥ 3 thử thách; hành vi đúng cụ thể, dẫn chính sách</t>
        </is>
      </c>
      <c r="D7" s="34" t="inlineStr">
        <is>
          <t>Thiếu 1 loại hoặc hành vi đúng còn chung chung</t>
        </is>
      </c>
      <c r="E7" s="34" t="inlineStr">
        <is>
          <t>Ít hơn 6 tình huống hoặc toàn tình huống dễ</t>
        </is>
      </c>
      <c r="F7" s="56" t="n"/>
    </row>
    <row r="8" ht="33" customHeight="1" s="27">
      <c r="A8" s="35" t="inlineStr">
        <is>
          <t>X4</t>
        </is>
      </c>
      <c r="B8" s="55" t="n">
        <v>1.5</v>
      </c>
      <c r="C8" s="34" t="inlineStr">
        <is>
          <t>Đúng bước và đúng mã lỗi gốc ở cả 3 vết (0,25 điểm mỗi ô đúng)</t>
        </is>
      </c>
      <c r="D8" s="34" t="inlineStr">
        <is>
          <t>Đúng một trong hai ô (bước hoặc mã) ở mỗi vết</t>
        </is>
      </c>
      <c r="E8" s="34" t="inlineStr">
        <is>
          <t>Sai cả bước và mã; cột “Nên sửa ở đâu” chỉ để nhận xét, không tính điểm</t>
        </is>
      </c>
      <c r="F8" s="56" t="n"/>
    </row>
    <row r="9" ht="48" customHeight="1" s="27">
      <c r="A9" s="35" t="inlineStr">
        <is>
          <t>X5</t>
        </is>
      </c>
      <c r="B9" s="55" t="n">
        <v>2</v>
      </c>
      <c r="C9" s="34" t="inlineStr">
        <is>
          <t>4 tiêu chí nhị phân, có ví dụ sát ranh hai phía, bộ chấm đúng căn cứ kiểm chứng, có ngưỡng (0,5 mỗi tiêu chí)</t>
        </is>
      </c>
      <c r="D9" s="34" t="inlineStr">
        <is>
          <t>Thiếu ví dụ sát ranh hoặc thiếu ngưỡng</t>
        </is>
      </c>
      <c r="E9" s="34" t="inlineStr">
        <is>
          <t>Dùng từ mơ hồ ("phù hợp", "hợp lý") hoặc thang điểm</t>
        </is>
      </c>
      <c r="F9" s="56" t="n"/>
    </row>
    <row r="10" ht="33" customHeight="1" s="27">
      <c r="A10" s="35" t="inlineStr">
        <is>
          <t>X6</t>
        </is>
      </c>
      <c r="B10" s="55" t="n">
        <v>1</v>
      </c>
      <c r="C10" s="34" t="inlineStr">
        <is>
          <t>Đếm đúng 4 ô, TPR và TNR đúng, chọn đúng kết luận B</t>
        </is>
      </c>
      <c r="D10" s="34" t="inlineStr">
        <is>
          <t>Số đúng nhưng kết luận sai</t>
        </is>
      </c>
      <c r="E10" s="34" t="inlineStr">
        <is>
          <t>Đếm sai ô</t>
        </is>
      </c>
      <c r="F10" s="56" t="n"/>
    </row>
    <row r="11" ht="48" customHeight="1" s="27">
      <c r="A11" s="35" t="inlineStr">
        <is>
          <t>X7</t>
        </is>
      </c>
      <c r="B11" s="55" t="n">
        <v>1.5</v>
      </c>
      <c r="C11" s="34" t="inlineStr">
        <is>
          <t>Chọn Phát hành, kế hoạch có mẫu %, 3 tín hiệu, ngưỡng cảnh báo bằng số; trả lời đúng 3 câu số liệu</t>
        </is>
      </c>
      <c r="D11" s="34" t="inlineStr">
        <is>
          <t>Đúng kết luận, kế hoạch thiếu số</t>
        </is>
      </c>
      <c r="E11" s="34" t="inlineStr">
        <is>
          <t>Chọn Lặp tiếp vì Ghi nhận cảm xúc giảm 2 điểm (đó là nhiễu)</t>
        </is>
      </c>
      <c r="F11" s="56" t="n"/>
    </row>
    <row r="12" ht="18" customHeight="1" s="27">
      <c r="A12" s="35" t="inlineStr">
        <is>
          <t>Tổng</t>
        </is>
      </c>
      <c r="B12" s="57" t="n">
        <f>SUM(B5:B11)</f>
        <v>10.0</v>
      </c>
      <c r="F12" s="58" t="str">
        <f>IF(COUNT(F5:F11)=0,"",SUM(F5:F11))</f>
        <v/>
      </c>
    </row>
  </sheetData>
  <sheetProtection selectLockedCells="0" selectUnlockedCells="0" sheet="1" objects="0" insertRows="1" insertHyperlinks="1" autoFilter="1" scenarios="0" formatColumns="1" deleteColumns="1" insertColumns="1" pivotTables="1" deleteRows="1" formatCells="1" formatRows="1" sort="1" password="c716"/>
  <mergeCells count="1">
    <mergeCell ref="A2:F2"/>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6" min="1" max="1"/>
    <col width="52" customWidth="1" style="26" min="2" max="2"/>
    <col width="14" customWidth="1" style="26" min="3" max="3"/>
    <col width="12" customWidth="1" style="26" min="4" max="4"/>
  </cols>
  <sheetData>
    <row r="1" ht="17.35" customHeight="1" s="27">
      <c r="A1" s="28" t="inlineStr">
        <is>
          <t>Tổng hợp kết quả tự kiểm tra</t>
        </is>
      </c>
    </row>
    <row r="2"/>
    <row r="3" ht="18" customHeight="1" s="27">
      <c r="A3" s="33" t="inlineStr">
        <is>
          <t>Bài</t>
        </is>
      </c>
      <c r="B3" s="33" t="inlineStr">
        <is>
          <t>Nội dung</t>
        </is>
      </c>
      <c r="C3" s="33" t="inlineStr">
        <is>
          <t>Số câu đúng</t>
        </is>
      </c>
      <c r="D3" s="33" t="inlineStr">
        <is>
          <t>Tổng số câu</t>
        </is>
      </c>
    </row>
    <row r="4" ht="18" customHeight="1" s="27">
      <c r="A4" s="35" t="inlineStr">
        <is>
          <t>Bài 1</t>
        </is>
      </c>
      <c r="B4" s="34" t="inlineStr">
        <is>
          <t>Đọc báo cáo đánh giá và thu hẹp phạm vi</t>
        </is>
      </c>
      <c r="C4" s="50" t="n">
        <f>'Bài 1'!C29</f>
        <v>9</v>
      </c>
      <c r="D4" s="59" t="n">
        <v>9</v>
      </c>
    </row>
    <row r="5" ht="18" customHeight="1" s="27">
      <c r="A5" s="35" t="inlineStr">
        <is>
          <t>Bài 2</t>
        </is>
      </c>
      <c r="B5" s="34" t="inlineStr">
        <is>
          <t>Phủ ca và chọn tình huống</t>
        </is>
      </c>
      <c r="C5" s="50" t="n">
        <f>'Bài 2'!C25</f>
        <v>14</v>
      </c>
      <c r="D5" s="59" t="n">
        <v>14</v>
      </c>
    </row>
    <row r="6" ht="18" customHeight="1" s="27">
      <c r="A6" s="35" t="inlineStr">
        <is>
          <t>Bài 3</t>
        </is>
      </c>
      <c r="B6" s="34" t="inlineStr">
        <is>
          <t>Đọc vết thực thi, tìm bước sai đầu tiên</t>
        </is>
      </c>
      <c r="C6" s="50" t="n">
        <f>'Bài 3'!C39</f>
        <v>9</v>
      </c>
      <c r="D6" s="59" t="n">
        <v>9</v>
      </c>
    </row>
    <row r="7" ht="18" customHeight="1" s="27">
      <c r="A7" s="35" t="inlineStr">
        <is>
          <t>Bài 4</t>
        </is>
      </c>
      <c r="B7" s="34" t="inlineStr">
        <is>
          <t>Chọn cách chấm và ra kết luận</t>
        </is>
      </c>
      <c r="C7" s="50" t="n">
        <f>'Bài 4'!C33</f>
        <v>15</v>
      </c>
      <c r="D7" s="59" t="n">
        <v>15</v>
      </c>
    </row>
    <row r="8" ht="18" customHeight="1" s="27">
      <c r="A8" s="35" t="inlineStr">
        <is>
          <t>Bài 5</t>
        </is>
      </c>
      <c r="B8" s="34" t="inlineStr">
        <is>
          <t>Hiệu chỉnh giám khảo AI</t>
        </is>
      </c>
      <c r="C8" s="50" t="n">
        <f>'Bài 5'!C44</f>
        <v>18</v>
      </c>
      <c r="D8" s="59" t="n">
        <v>18</v>
      </c>
    </row>
    <row r="9"/>
    <row r="10" ht="18" customHeight="1" s="27">
      <c r="A10" s="49" t="inlineStr">
        <is>
          <t>Xưởng · các ô tự kiểm tra</t>
        </is>
      </c>
    </row>
    <row r="11" ht="18" customHeight="1" s="27">
      <c r="A11" s="35" t="inlineStr">
        <is>
          <t>X1</t>
        </is>
      </c>
      <c r="B11" s="34" t="inlineStr">
        <is>
          <t>Đơn vị công việc AI</t>
        </is>
      </c>
      <c r="C11" s="60" t="str">
        <f>Xưởng!G7</f>
        <v>Đạt</v>
      </c>
    </row>
    <row r="12" ht="18" customHeight="1" s="27">
      <c r="A12" s="35" t="inlineStr">
        <is>
          <t>X2</t>
        </is>
      </c>
      <c r="B12" s="34" t="inlineStr">
        <is>
          <t>Chiều và phễu</t>
        </is>
      </c>
      <c r="C12" s="60" t="str">
        <f>Xưởng!D20</f>
        <v>Đạt</v>
      </c>
    </row>
    <row r="13" ht="18" customHeight="1" s="27">
      <c r="A13" s="35" t="inlineStr">
        <is>
          <t>X3</t>
        </is>
      </c>
      <c r="B13" s="34" t="inlineStr">
        <is>
          <t>8 tình huống</t>
        </is>
      </c>
      <c r="C13" s="60" t="str">
        <f>Xưởng!C36</f>
        <v>Đạt</v>
      </c>
    </row>
    <row r="14" ht="18" customHeight="1" s="27">
      <c r="A14" s="35" t="inlineStr">
        <is>
          <t>X4</t>
        </is>
      </c>
      <c r="B14" s="34" t="inlineStr">
        <is>
          <t>Đọc 3 vết thực thi mới</t>
        </is>
      </c>
      <c r="C14" s="50" t="n">
        <f>COUNTIF(Xưởng!F56:G58,"Đúng")</f>
        <v>6</v>
      </c>
      <c r="D14" s="34" t="inlineStr">
        <is>
          <t>/ 6 ô</t>
        </is>
      </c>
    </row>
    <row r="15" ht="18" customHeight="1" s="27">
      <c r="A15" s="35" t="inlineStr">
        <is>
          <t>X5</t>
        </is>
      </c>
      <c r="B15" s="34" t="inlineStr">
        <is>
          <t>4 tiêu chí nhị phân</t>
        </is>
      </c>
      <c r="C15" s="60" t="str">
        <f>Xưởng!C67</f>
        <v>Đạt</v>
      </c>
    </row>
    <row r="16" ht="18" customHeight="1" s="27">
      <c r="A16" s="35" t="inlineStr">
        <is>
          <t>X6</t>
        </is>
      </c>
      <c r="B16" s="34" t="inlineStr">
        <is>
          <t>Hiệu chỉnh giám khảo</t>
        </is>
      </c>
      <c r="C16" s="50" t="n">
        <f>COUNTIF(Xưởng!G72:G84,"Đúng")</f>
        <v>5</v>
      </c>
      <c r="D16" s="34" t="inlineStr">
        <is>
          <t>/ 5 ô</t>
        </is>
      </c>
    </row>
    <row r="17" ht="18" customHeight="1" s="27">
      <c r="A17" s="35" t="inlineStr">
        <is>
          <t>X7</t>
        </is>
      </c>
      <c r="B17" s="34" t="inlineStr">
        <is>
          <t>Kết luận có răng</t>
        </is>
      </c>
      <c r="C17" s="50" t="n">
        <f>COUNTIF(Xưởng!D105:D112,"Đúng")</f>
        <v>4</v>
      </c>
      <c r="D17" s="34" t="inlineStr">
        <is>
          <t>/ 4 ô</t>
        </is>
      </c>
    </row>
  </sheetData>
  <sheetProtection selectLockedCells="0" selectUnlockedCells="0" sheet="1" objects="0" insertRows="1" insertHyperlinks="1" autoFilter="1" scenarios="0" formatColumns="1" deleteColumns="1" insertColumns="1" pivotTables="1" deleteRows="1" formatCells="1" formatRows="1" sort="1" password="c716"/>
  <mergeCells count="1">
    <mergeCell ref="A10:D10"/>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N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7">
      <c r="A1" s="26" t="inlineStr">
        <is>
          <t>Có</t>
        </is>
      </c>
      <c r="B1" s="26" t="inlineStr">
        <is>
          <t>A</t>
        </is>
      </c>
      <c r="C1" s="26" t="inlineStr">
        <is>
          <t>Khoảng 100 ca</t>
        </is>
      </c>
      <c r="D1" s="26" t="inlineStr">
        <is>
          <t>Trục 1</t>
        </is>
      </c>
      <c r="E1" s="26" t="inlineStr">
        <is>
          <t>Đại diện</t>
        </is>
      </c>
      <c r="F1" s="26" t="inlineStr">
        <is>
          <t>wrong_intent</t>
        </is>
      </c>
      <c r="G1" s="26" t="inlineStr">
        <is>
          <t>Thiếu đặc tả → sửa câu lệnh</t>
        </is>
      </c>
      <c r="H1" s="26" t="inlineStr">
        <is>
          <t>Mã lệnh</t>
        </is>
      </c>
      <c r="I1" s="26" t="inlineStr">
        <is>
          <t>Đạt · đúng 1 nhãn</t>
        </is>
      </c>
      <c r="J1" s="26" t="inlineStr">
        <is>
          <t>Phát hành</t>
        </is>
      </c>
      <c r="K1" s="26" t="inlineStr">
        <is>
          <t>Sửa câu lệnh</t>
        </is>
      </c>
      <c r="L1" s="26" t="inlineStr">
        <is>
          <t>Cho qua lỗi</t>
        </is>
      </c>
      <c r="M1" s="26" t="inlineStr">
        <is>
          <t>Đúng</t>
        </is>
      </c>
      <c r="N1" s="26" t="inlineStr">
        <is>
          <t>Mã lệnh</t>
        </is>
      </c>
    </row>
    <row r="2" ht="15" customHeight="1" s="27">
      <c r="A2" s="26" t="inlineStr">
        <is>
          <t>Không</t>
        </is>
      </c>
      <c r="B2" s="26" t="inlineStr">
        <is>
          <t>B</t>
        </is>
      </c>
      <c r="C2" s="26" t="inlineStr">
        <is>
          <t>Khoảng 1.000 ca</t>
        </is>
      </c>
      <c r="D2" s="26" t="inlineStr">
        <is>
          <t>Trục 2</t>
        </is>
      </c>
      <c r="E2" s="26" t="inlineStr">
        <is>
          <t>Thử thách</t>
        </is>
      </c>
      <c r="F2" s="26" t="inlineStr">
        <is>
          <t>missing_lookup</t>
        </is>
      </c>
      <c r="G2" s="26" t="inlineStr">
        <is>
          <t>Thiếu năng lực hệ thống → sửa kỹ thuật</t>
        </is>
      </c>
      <c r="H2" s="26" t="inlineStr">
        <is>
          <t>Giám khảo AI</t>
        </is>
      </c>
      <c r="I2" s="26" t="inlineStr">
        <is>
          <t>Không đạt · không có nhãn hợp lệ</t>
        </is>
      </c>
      <c r="J2" s="26" t="inlineStr">
        <is>
          <t>Lặp tiếp</t>
        </is>
      </c>
      <c r="K2" s="26" t="inlineStr">
        <is>
          <t>Đổi mô hình</t>
        </is>
      </c>
      <c r="L2" s="26" t="inlineStr">
        <is>
          <t>Chặn nhầm</t>
        </is>
      </c>
      <c r="M2" s="26" t="inlineStr">
        <is>
          <t>Sai</t>
        </is>
      </c>
      <c r="N2" s="26" t="inlineStr">
        <is>
          <t>Giám khảo AI</t>
        </is>
      </c>
    </row>
    <row r="3" ht="15" customHeight="1" s="27">
      <c r="B3" s="26" t="inlineStr">
        <is>
          <t>C</t>
        </is>
      </c>
      <c r="C3" s="26" t="inlineStr">
        <is>
          <t>Khoảng 10.000 ca</t>
        </is>
      </c>
      <c r="D3" s="26" t="inlineStr">
        <is>
          <t>Trục 3</t>
        </is>
      </c>
      <c r="E3" s="26" t="inlineStr">
        <is>
          <t>Hồi quy nghiêm trọng</t>
        </is>
      </c>
      <c r="F3" s="26" t="inlineStr">
        <is>
          <t>premature_commit</t>
        </is>
      </c>
      <c r="G3" s="26" t="inlineStr">
        <is>
          <t>Lúc được lúc không → viết bài đánh giá tự động</t>
        </is>
      </c>
      <c r="H3" s="26" t="inlineStr">
        <is>
          <t>Người quyết</t>
        </is>
      </c>
      <c r="I3" s="26" t="inlineStr">
        <is>
          <t>Không đạt · nhiều hơn 1 nhãn</t>
        </is>
      </c>
      <c r="J3" s="26" t="inlineStr">
        <is>
          <t>Quay về bản cũ</t>
        </is>
      </c>
      <c r="K3" s="26" t="inlineStr">
        <is>
          <t>Đổi kiến trúc</t>
        </is>
      </c>
      <c r="N3" s="26" t="inlineStr">
        <is>
          <t>Người quyết</t>
        </is>
      </c>
    </row>
    <row r="4" ht="15" customHeight="1" s="27">
      <c r="F4" s="26" t="inlineStr">
        <is>
          <t>missing_escalation</t>
        </is>
      </c>
      <c r="N4" s="26" t="inlineStr">
        <is>
          <t>Mã lệnh (lời gọi công cụ) + người kiểm mẫu 10%</t>
        </is>
      </c>
    </row>
    <row r="5" ht="15" customHeight="1" s="27">
      <c r="F5" s="26" t="inlineStr">
        <is>
          <t>no_next_step</t>
        </is>
      </c>
    </row>
  </sheetData>
  <sheetProtection selectLockedCells="0" selectUnlockedCells="0" sheet="1" objects="0" insertRows="1" insertHyperlinks="1" autoFilter="1" scenarios="0" formatColumns="1" deleteColumns="1" insertColumns="1" pivotTables="1" deleteRows="1" formatCells="1" formatRows="1" sort="1" password="c716"/>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2026-10-14T16:05:47Z</dcterms:created>
  <dcterms:modified xmlns:dcterms="http://purl.org/dc/terms/" xmlns:xsi="http://www.w3.org/2001/XMLSchema-instance" xsi:type="dcterms:W3CDTF">2026-10-16T12:38:06Z</dcterms:modified>
  <cp:revision>0</cp:revision>
</cp:coreProperties>
</file>